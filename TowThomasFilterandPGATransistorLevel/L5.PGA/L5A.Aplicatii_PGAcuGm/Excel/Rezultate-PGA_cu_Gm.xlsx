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aching_Work\Materii\Cursuri\CAIF_2021\lab_work\L5A.Aplicatii_PGAcuGm\Excel\"/>
    </mc:Choice>
  </mc:AlternateContent>
  <xr:revisionPtr revIDLastSave="0" documentId="13_ncr:1_{DCD6B8C2-9881-4E1C-9CED-1C6DCA4D8EBA}" xr6:coauthVersionLast="45" xr6:coauthVersionMax="45" xr10:uidLastSave="{00000000-0000-0000-0000-000000000000}"/>
  <bookViews>
    <workbookView xWindow="-120" yWindow="-16320" windowWidth="29040" windowHeight="1644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8" i="5" l="1"/>
  <c r="J18" i="5"/>
  <c r="L18" i="5" s="1"/>
  <c r="M18" i="5"/>
  <c r="M19" i="5"/>
  <c r="M20" i="5"/>
  <c r="M21" i="5"/>
  <c r="M22" i="5"/>
  <c r="O19" i="5" l="1"/>
  <c r="S19" i="5" s="1"/>
  <c r="O20" i="5"/>
  <c r="S20" i="5" s="1"/>
  <c r="O21" i="5"/>
  <c r="S21" i="5" s="1"/>
  <c r="O18" i="5"/>
  <c r="S18" i="5" s="1"/>
  <c r="O22" i="5"/>
  <c r="S22" i="5" s="1"/>
  <c r="M11" i="5"/>
  <c r="M10" i="5"/>
  <c r="M7" i="5"/>
  <c r="M9" i="5"/>
  <c r="P8" i="5"/>
  <c r="P9" i="5"/>
  <c r="P10" i="5"/>
  <c r="T10" i="5" s="1"/>
  <c r="P11" i="5"/>
  <c r="T11" i="5" s="1"/>
  <c r="P7" i="5"/>
  <c r="L7" i="5"/>
  <c r="N18" i="5" l="1"/>
  <c r="R18" i="5" s="1"/>
  <c r="N19" i="5"/>
  <c r="R19" i="5" s="1"/>
  <c r="N20" i="5"/>
  <c r="R20" i="5" s="1"/>
  <c r="N21" i="5"/>
  <c r="R21" i="5" s="1"/>
  <c r="N22" i="5"/>
  <c r="R22" i="5" s="1"/>
  <c r="M8" i="5"/>
  <c r="N7" i="5" l="1"/>
  <c r="O7" i="5" s="1"/>
  <c r="T9" i="5"/>
  <c r="T8" i="5"/>
  <c r="T7" i="5"/>
  <c r="L8" i="5" l="1"/>
  <c r="N8" i="5" s="1"/>
  <c r="O8" i="5" s="1"/>
  <c r="S8" i="5" s="1"/>
  <c r="S7" i="5"/>
  <c r="I91" i="5"/>
  <c r="J91" i="5" s="1"/>
  <c r="N91" i="5" s="1"/>
  <c r="H91" i="5"/>
  <c r="K91" i="5" s="1"/>
  <c r="O91" i="5" s="1"/>
  <c r="I90" i="5"/>
  <c r="J90" i="5" s="1"/>
  <c r="N90" i="5" s="1"/>
  <c r="H90" i="5"/>
  <c r="K90" i="5" s="1"/>
  <c r="O90" i="5" s="1"/>
  <c r="I89" i="5"/>
  <c r="J89" i="5" s="1"/>
  <c r="N89" i="5" s="1"/>
  <c r="H89" i="5"/>
  <c r="K89" i="5" s="1"/>
  <c r="O89" i="5" s="1"/>
  <c r="I76" i="5"/>
  <c r="I77" i="5"/>
  <c r="J77" i="5" s="1"/>
  <c r="N77" i="5" s="1"/>
  <c r="I75" i="5"/>
  <c r="J75" i="5" s="1"/>
  <c r="N75" i="5" s="1"/>
  <c r="H75" i="5"/>
  <c r="K75" i="5" s="1"/>
  <c r="O75" i="5" s="1"/>
  <c r="K61" i="5"/>
  <c r="O61" i="5" s="1"/>
  <c r="K62" i="5"/>
  <c r="O62" i="5" s="1"/>
  <c r="K60" i="5"/>
  <c r="O60" i="5" s="1"/>
  <c r="H61" i="5"/>
  <c r="I61" i="5" s="1"/>
  <c r="J61" i="5" s="1"/>
  <c r="N61" i="5" s="1"/>
  <c r="H62" i="5"/>
  <c r="I62" i="5" s="1"/>
  <c r="J62" i="5" s="1"/>
  <c r="N62" i="5" s="1"/>
  <c r="H60" i="5"/>
  <c r="I60" i="5" s="1"/>
  <c r="H77" i="5"/>
  <c r="K77" i="5" s="1"/>
  <c r="O77" i="5" s="1"/>
  <c r="H76" i="5"/>
  <c r="K76" i="5" s="1"/>
  <c r="O76" i="5" s="1"/>
  <c r="J76" i="5"/>
  <c r="N76" i="5" s="1"/>
  <c r="H46" i="5"/>
  <c r="I46" i="5" s="1"/>
  <c r="J46" i="5" s="1"/>
  <c r="N46" i="5" s="1"/>
  <c r="K47" i="5"/>
  <c r="O47" i="5" s="1"/>
  <c r="H47" i="5"/>
  <c r="I47" i="5" s="1"/>
  <c r="J47" i="5" s="1"/>
  <c r="N47" i="5" s="1"/>
  <c r="K46" i="5"/>
  <c r="O46" i="5" s="1"/>
  <c r="K45" i="5"/>
  <c r="O45" i="5" s="1"/>
  <c r="H45" i="5"/>
  <c r="I45" i="5" s="1"/>
  <c r="L9" i="5" l="1"/>
  <c r="N9" i="5" s="1"/>
  <c r="O9" i="5" s="1"/>
  <c r="S9" i="5" s="1"/>
  <c r="J60" i="5"/>
  <c r="N60" i="5" s="1"/>
  <c r="J45" i="5"/>
  <c r="N45" i="5" s="1"/>
  <c r="D33" i="5"/>
  <c r="H33" i="5" s="1"/>
  <c r="A33" i="5"/>
  <c r="B33" i="5" s="1"/>
  <c r="C33" i="5" s="1"/>
  <c r="L10" i="5" l="1"/>
  <c r="N10" i="5" s="1"/>
  <c r="O10" i="5" s="1"/>
  <c r="S10" i="5" s="1"/>
  <c r="B38" i="5"/>
  <c r="G33" i="5"/>
  <c r="L11" i="5" l="1"/>
  <c r="N11" i="5" s="1"/>
  <c r="O11" i="5" s="1"/>
  <c r="S11" i="5" s="1"/>
</calcChain>
</file>

<file path=xl/sharedStrings.xml><?xml version="1.0" encoding="utf-8"?>
<sst xmlns="http://schemas.openxmlformats.org/spreadsheetml/2006/main" count="258" uniqueCount="57">
  <si>
    <t>Castig  teoretic</t>
  </si>
  <si>
    <t>Castig masurat</t>
  </si>
  <si>
    <t>CL [pF]</t>
  </si>
  <si>
    <t>Banda</t>
  </si>
  <si>
    <t>[Hz]</t>
  </si>
  <si>
    <t>Estimari</t>
  </si>
  <si>
    <t>Marimi Masurate</t>
  </si>
  <si>
    <t>Diferenta Masurat-Calculat</t>
  </si>
  <si>
    <t>Parametri de semnal mare</t>
  </si>
  <si>
    <t>Vin_ampl_max</t>
  </si>
  <si>
    <t>Vout_ampl_max</t>
  </si>
  <si>
    <t>THD</t>
  </si>
  <si>
    <t>[V]</t>
  </si>
  <si>
    <t>[%]</t>
  </si>
  <si>
    <t>Castig</t>
  </si>
  <si>
    <t>minim</t>
  </si>
  <si>
    <t>maxim</t>
  </si>
  <si>
    <t>[dB]</t>
  </si>
  <si>
    <t>Parametri de circuit</t>
  </si>
  <si>
    <t>Aii [A/A]</t>
  </si>
  <si>
    <t>Rdeg</t>
  </si>
  <si>
    <t>RL</t>
  </si>
  <si>
    <t>CL</t>
  </si>
  <si>
    <t>Gm</t>
  </si>
  <si>
    <t>[S]</t>
  </si>
  <si>
    <t>[V/V]</t>
  </si>
  <si>
    <t>PGA Gm-R Kwan-Martin</t>
  </si>
  <si>
    <t>tb_PGA Gm-R Kwan-Martin.asc</t>
  </si>
  <si>
    <t>Rdeg1/2</t>
  </si>
  <si>
    <t>s11</t>
  </si>
  <si>
    <t>s12</t>
  </si>
  <si>
    <t>s13</t>
  </si>
  <si>
    <t>Rdeg/2</t>
  </si>
  <si>
    <t>PGA Gm-R Weeland</t>
  </si>
  <si>
    <t>tb_PGA Gm-R Weeland.asc</t>
  </si>
  <si>
    <t>PGA2 Gm Kwan-Martin</t>
  </si>
  <si>
    <t>tb_PGA 2Gm Kwan-Martin.asc</t>
  </si>
  <si>
    <t>Rdeg2</t>
  </si>
  <si>
    <t>Gm2</t>
  </si>
  <si>
    <t>s0</t>
  </si>
  <si>
    <t>s1</t>
  </si>
  <si>
    <t>s2</t>
  </si>
  <si>
    <t>s3</t>
  </si>
  <si>
    <t>DCOP</t>
  </si>
  <si>
    <t>gm1</t>
  </si>
  <si>
    <t>Gm_dif</t>
  </si>
  <si>
    <t>Rout_Dif</t>
  </si>
  <si>
    <t>[Ohm]</t>
  </si>
  <si>
    <t>Rdeg_ech/2</t>
  </si>
  <si>
    <t>gds_switch</t>
  </si>
  <si>
    <t>s4</t>
  </si>
  <si>
    <t>\LTSpice\PGA_GmR_EtajDifDegenerare\EtajDiferentialDegenerareSarcinaActivaCastigMarit.asc</t>
  </si>
  <si>
    <t>Rdeg2/2</t>
  </si>
  <si>
    <t>\LTSpice\PGA_2Gm_EtajDifDegenerare\PGA_2GM_EtajDifDegenerare.asc</t>
  </si>
  <si>
    <t>\LTSpice\amplificator_GmR\tb_amplificator Gm+R.asc</t>
  </si>
  <si>
    <t>PGA2 Gm Weeland</t>
  </si>
  <si>
    <t>tb_PGA 2Gm Weeland.asc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</si>
</sst>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8" fillId="4" borderId="10" xfId="0" applyFont="1" applyFill="1" applyBorder="1" applyAlignment="1">
      <alignment horizontal="centerContinuous"/>
    </xf>
    <xf numFmtId="11" fontId="1" fillId="5" borderId="14" xfId="0" applyNumberFormat="1" applyFont="1" applyFill="1" applyBorder="1" applyAlignment="1">
      <alignment horizontal="center"/>
    </xf>
    <xf numFmtId="11" fontId="1" fillId="5" borderId="10" xfId="0" applyNumberFormat="1" applyFont="1" applyFill="1" applyBorder="1" applyAlignment="1">
      <alignment horizontal="center"/>
    </xf>
    <xf numFmtId="11" fontId="0" fillId="5" borderId="4" xfId="0" applyNumberFormat="1" applyFill="1" applyBorder="1" applyAlignment="1">
      <alignment horizontal="center"/>
    </xf>
    <xf numFmtId="0" fontId="2" fillId="0" borderId="0" xfId="0" applyFont="1"/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9" fillId="0" borderId="0" xfId="0" applyFont="1"/>
    <xf numFmtId="0" fontId="7" fillId="0" borderId="11" xfId="0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5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1" fontId="0" fillId="0" borderId="4" xfId="0" applyNumberFormat="1" applyBorder="1" applyAlignment="1">
      <alignment horizontal="center"/>
    </xf>
    <xf numFmtId="1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/>
    </xf>
    <xf numFmtId="11" fontId="2" fillId="0" borderId="4" xfId="0" applyNumberFormat="1" applyFont="1" applyBorder="1" applyAlignment="1">
      <alignment horizontal="center" vertical="center" wrapText="1"/>
    </xf>
    <xf numFmtId="11" fontId="0" fillId="0" borderId="0" xfId="0" applyNumberFormat="1"/>
    <xf numFmtId="11" fontId="2" fillId="0" borderId="0" xfId="0" applyNumberFormat="1" applyFont="1"/>
    <xf numFmtId="0" fontId="7" fillId="0" borderId="11" xfId="0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11" fontId="1" fillId="0" borderId="0" xfId="0" applyNumberFormat="1" applyFont="1" applyAlignment="1">
      <alignment horizontal="center" vertical="center" wrapText="1"/>
    </xf>
    <xf numFmtId="0" fontId="8" fillId="2" borderId="9" xfId="0" applyFont="1" applyFill="1" applyBorder="1" applyAlignment="1"/>
    <xf numFmtId="0" fontId="8" fillId="2" borderId="0" xfId="0" applyFont="1" applyFill="1" applyAlignment="1"/>
    <xf numFmtId="0" fontId="7" fillId="0" borderId="1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411480</xdr:colOff>
          <xdr:row>4</xdr:row>
          <xdr:rowOff>99060</xdr:rowOff>
        </xdr:from>
        <xdr:to>
          <xdr:col>26</xdr:col>
          <xdr:colOff>464820</xdr:colOff>
          <xdr:row>21</xdr:row>
          <xdr:rowOff>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.vsd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97"/>
  <sheetViews>
    <sheetView tabSelected="1" topLeftCell="A55" zoomScaleNormal="100" workbookViewId="0">
      <selection activeCell="A88" sqref="A88"/>
    </sheetView>
  </sheetViews>
  <sheetFormatPr defaultRowHeight="13.2" x14ac:dyDescent="0.25"/>
  <cols>
    <col min="2" max="2" width="14.33203125" customWidth="1"/>
    <col min="3" max="3" width="15.109375" customWidth="1"/>
    <col min="4" max="4" width="16.109375" customWidth="1"/>
    <col min="5" max="5" width="14" customWidth="1"/>
    <col min="6" max="6" width="10.5546875" customWidth="1"/>
    <col min="9" max="12" width="10.77734375" customWidth="1"/>
    <col min="16" max="16" width="9.5546875" bestFit="1" customWidth="1"/>
    <col min="18" max="18" width="11" customWidth="1"/>
  </cols>
  <sheetData>
    <row r="2" spans="1:26" ht="18" x14ac:dyDescent="0.25">
      <c r="B2" s="11" t="s">
        <v>51</v>
      </c>
      <c r="C2" s="12"/>
      <c r="D2" s="12"/>
      <c r="E2" s="29"/>
      <c r="F2" s="4"/>
      <c r="G2" s="4"/>
      <c r="H2" s="4"/>
      <c r="I2" s="4"/>
      <c r="J2" s="4"/>
      <c r="K2" s="4"/>
      <c r="L2" s="4"/>
    </row>
    <row r="3" spans="1:26" ht="13.8" x14ac:dyDescent="0.3">
      <c r="A3" s="10"/>
      <c r="B3" s="10"/>
      <c r="C3" s="10"/>
      <c r="D3" s="39"/>
      <c r="E3" s="40"/>
      <c r="F3" s="10"/>
      <c r="G3" s="10"/>
      <c r="H3" s="10"/>
      <c r="I3" s="10"/>
      <c r="J3" s="24" t="s">
        <v>6</v>
      </c>
      <c r="K3" s="41"/>
      <c r="L3" s="41"/>
      <c r="M3" s="41"/>
      <c r="N3" s="41" t="s">
        <v>5</v>
      </c>
      <c r="O3" s="41"/>
      <c r="P3" s="42"/>
      <c r="Q3" s="24" t="s">
        <v>6</v>
      </c>
      <c r="R3" s="31"/>
      <c r="S3" s="46" t="s">
        <v>7</v>
      </c>
      <c r="T3" s="31"/>
      <c r="U3" s="26"/>
      <c r="V3" s="40"/>
      <c r="W3" s="40"/>
      <c r="X3" s="40"/>
      <c r="Y3" s="40"/>
      <c r="Z3" s="40"/>
    </row>
    <row r="4" spans="1:26" ht="18" customHeight="1" thickBot="1" x14ac:dyDescent="0.4">
      <c r="A4" s="3"/>
      <c r="B4" s="4"/>
      <c r="C4" s="4"/>
      <c r="D4" s="4"/>
      <c r="E4" s="4"/>
      <c r="F4" s="4"/>
      <c r="G4" s="4"/>
      <c r="H4" s="4"/>
      <c r="I4" s="4"/>
      <c r="J4" s="53" t="s">
        <v>43</v>
      </c>
      <c r="K4" s="55"/>
      <c r="L4" s="43"/>
      <c r="M4" s="43"/>
      <c r="N4" s="43"/>
      <c r="O4" s="43"/>
      <c r="P4" s="44"/>
      <c r="Q4" s="45"/>
      <c r="R4" s="45"/>
      <c r="S4" s="32"/>
      <c r="T4" s="33"/>
      <c r="U4" s="33"/>
    </row>
    <row r="5" spans="1:26" s="6" customFormat="1" ht="27.6" thickBot="1" x14ac:dyDescent="0.35">
      <c r="A5" s="47"/>
      <c r="B5" s="48"/>
      <c r="C5" s="49"/>
      <c r="F5" s="5"/>
      <c r="G5" s="5"/>
      <c r="H5" s="5"/>
      <c r="I5" s="5"/>
      <c r="J5" s="5"/>
      <c r="K5" s="5"/>
      <c r="L5" s="54" t="s">
        <v>45</v>
      </c>
      <c r="M5" s="54" t="s">
        <v>46</v>
      </c>
      <c r="N5" s="34" t="s">
        <v>0</v>
      </c>
      <c r="O5" s="35" t="s">
        <v>0</v>
      </c>
      <c r="P5" s="35" t="s">
        <v>3</v>
      </c>
      <c r="Q5" s="35" t="s">
        <v>1</v>
      </c>
      <c r="R5" s="36" t="s">
        <v>3</v>
      </c>
      <c r="S5" s="35" t="s">
        <v>14</v>
      </c>
      <c r="T5" s="36" t="s">
        <v>3</v>
      </c>
      <c r="X5"/>
    </row>
    <row r="6" spans="1:26" s="6" customFormat="1" ht="29.4" thickBot="1" x14ac:dyDescent="0.35">
      <c r="A6" s="7" t="s">
        <v>19</v>
      </c>
      <c r="B6" s="7" t="s">
        <v>2</v>
      </c>
      <c r="C6" s="7" t="s">
        <v>21</v>
      </c>
      <c r="D6" s="7" t="s">
        <v>50</v>
      </c>
      <c r="E6" s="7" t="s">
        <v>42</v>
      </c>
      <c r="F6" s="7" t="s">
        <v>41</v>
      </c>
      <c r="G6" s="7" t="s">
        <v>40</v>
      </c>
      <c r="H6" s="7" t="s">
        <v>39</v>
      </c>
      <c r="I6" s="50" t="s">
        <v>48</v>
      </c>
      <c r="J6" s="50" t="s">
        <v>44</v>
      </c>
      <c r="K6" s="50" t="s">
        <v>49</v>
      </c>
      <c r="L6" s="34" t="s">
        <v>24</v>
      </c>
      <c r="M6" s="54" t="s">
        <v>47</v>
      </c>
      <c r="N6" s="34" t="s">
        <v>25</v>
      </c>
      <c r="O6" s="35" t="s">
        <v>17</v>
      </c>
      <c r="P6" s="35" t="s">
        <v>4</v>
      </c>
      <c r="Q6" s="35" t="s">
        <v>17</v>
      </c>
      <c r="R6" s="36" t="s">
        <v>4</v>
      </c>
      <c r="S6" s="35" t="s">
        <v>17</v>
      </c>
      <c r="T6" s="36" t="s">
        <v>13</v>
      </c>
    </row>
    <row r="7" spans="1:26" x14ac:dyDescent="0.25">
      <c r="A7" s="9">
        <v>2</v>
      </c>
      <c r="B7" s="9">
        <v>2E-12</v>
      </c>
      <c r="C7" s="9">
        <v>10000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9">
        <v>4000</v>
      </c>
      <c r="J7" s="9"/>
      <c r="K7" s="56"/>
      <c r="L7" s="38">
        <f>J$7/(1+I7*J$7)</f>
        <v>0</v>
      </c>
      <c r="M7" s="38">
        <f>2*C7</f>
        <v>20000</v>
      </c>
      <c r="N7" s="38">
        <f t="shared" ref="N7:N8" si="0">L7*M$7/2</f>
        <v>0</v>
      </c>
      <c r="O7" s="2" t="e">
        <f>20*LOG(N7)</f>
        <v>#NUM!</v>
      </c>
      <c r="P7" s="38">
        <f>1/(2*PI()*B$7*2*C$7)</f>
        <v>3978873.5772973835</v>
      </c>
      <c r="Q7" s="1"/>
      <c r="R7" s="38"/>
      <c r="S7" s="2" t="e">
        <f>Q7-O7</f>
        <v>#NUM!</v>
      </c>
      <c r="T7" s="1" t="e">
        <f>100*(P7-R7)/R7</f>
        <v>#DIV/0!</v>
      </c>
    </row>
    <row r="8" spans="1:26" x14ac:dyDescent="0.25">
      <c r="B8" s="10"/>
      <c r="C8" s="10"/>
      <c r="D8" s="8">
        <v>0</v>
      </c>
      <c r="E8" s="8">
        <v>0</v>
      </c>
      <c r="F8" s="8">
        <v>0</v>
      </c>
      <c r="G8" s="8">
        <v>2.5</v>
      </c>
      <c r="H8" s="8">
        <v>0</v>
      </c>
      <c r="I8" s="9">
        <v>5000</v>
      </c>
      <c r="L8" s="38">
        <f>J$7/(1+I8*J$7)</f>
        <v>0</v>
      </c>
      <c r="M8" s="38">
        <f>2*C7</f>
        <v>20000</v>
      </c>
      <c r="N8" s="38">
        <f t="shared" si="0"/>
        <v>0</v>
      </c>
      <c r="O8" s="2" t="e">
        <f t="shared" ref="O8:O9" si="1">20*LOG(N8)</f>
        <v>#NUM!</v>
      </c>
      <c r="P8" s="38">
        <f t="shared" ref="P8:P11" si="2">1/(2*PI()*B$7*2*C$7)</f>
        <v>3978873.5772973835</v>
      </c>
      <c r="Q8" s="1"/>
      <c r="R8" s="38"/>
      <c r="S8" s="2" t="e">
        <f>Q8-O8</f>
        <v>#NUM!</v>
      </c>
      <c r="T8" s="1" t="e">
        <f>100*(P8-R8)/R8</f>
        <v>#DIV/0!</v>
      </c>
    </row>
    <row r="9" spans="1:26" x14ac:dyDescent="0.25">
      <c r="B9" s="10"/>
      <c r="C9" s="10"/>
      <c r="D9" s="8">
        <v>0</v>
      </c>
      <c r="E9" s="8">
        <v>0</v>
      </c>
      <c r="F9" s="8">
        <v>2.5</v>
      </c>
      <c r="G9" s="8">
        <v>0</v>
      </c>
      <c r="H9" s="8">
        <v>0</v>
      </c>
      <c r="I9" s="9">
        <v>6300</v>
      </c>
      <c r="K9" s="57"/>
      <c r="L9" s="38">
        <f>J$7/(1+I9*J$7)</f>
        <v>0</v>
      </c>
      <c r="M9" s="38">
        <f>2*C7</f>
        <v>20000</v>
      </c>
      <c r="N9" s="38">
        <f>L9*M$7/2</f>
        <v>0</v>
      </c>
      <c r="O9" s="2" t="e">
        <f t="shared" si="1"/>
        <v>#NUM!</v>
      </c>
      <c r="P9" s="38">
        <f t="shared" si="2"/>
        <v>3978873.5772973835</v>
      </c>
      <c r="Q9" s="1"/>
      <c r="R9" s="38"/>
      <c r="S9" s="2" t="e">
        <f>Q9-O9</f>
        <v>#NUM!</v>
      </c>
      <c r="T9" s="1" t="e">
        <f>100*(P9-R9)/R9</f>
        <v>#DIV/0!</v>
      </c>
    </row>
    <row r="10" spans="1:26" x14ac:dyDescent="0.25">
      <c r="B10" s="10"/>
      <c r="C10" s="10"/>
      <c r="D10" s="8">
        <v>0</v>
      </c>
      <c r="E10" s="8">
        <v>2.5</v>
      </c>
      <c r="F10" s="8">
        <v>0</v>
      </c>
      <c r="G10" s="8">
        <v>0</v>
      </c>
      <c r="H10" s="8">
        <v>0</v>
      </c>
      <c r="I10" s="9">
        <v>8000</v>
      </c>
      <c r="K10" s="57"/>
      <c r="L10" s="38">
        <f>J$7/(1+I10*J$7)</f>
        <v>0</v>
      </c>
      <c r="M10" s="38">
        <f>2*C7</f>
        <v>20000</v>
      </c>
      <c r="N10" s="38">
        <f>L10*M$7/2</f>
        <v>0</v>
      </c>
      <c r="O10" s="2" t="e">
        <f t="shared" ref="O10:O11" si="3">20*LOG(N10)</f>
        <v>#NUM!</v>
      </c>
      <c r="P10" s="38">
        <f t="shared" si="2"/>
        <v>3978873.5772973835</v>
      </c>
      <c r="Q10" s="1"/>
      <c r="R10" s="38"/>
      <c r="S10" s="2" t="e">
        <f>Q10-O10</f>
        <v>#NUM!</v>
      </c>
      <c r="T10" s="1" t="e">
        <f>100*(P10-R10)/R10</f>
        <v>#DIV/0!</v>
      </c>
    </row>
    <row r="11" spans="1:26" x14ac:dyDescent="0.25">
      <c r="B11" s="10"/>
      <c r="C11" s="10"/>
      <c r="D11" s="8">
        <v>2.5</v>
      </c>
      <c r="E11" s="8">
        <v>0</v>
      </c>
      <c r="F11" s="8">
        <v>0</v>
      </c>
      <c r="G11" s="8">
        <v>0</v>
      </c>
      <c r="H11" s="8">
        <v>0</v>
      </c>
      <c r="I11" s="9">
        <v>10000</v>
      </c>
      <c r="K11" s="57"/>
      <c r="L11" s="38">
        <f>J$7/(1+I11*J$7)</f>
        <v>0</v>
      </c>
      <c r="M11" s="38">
        <f>2*C7</f>
        <v>20000</v>
      </c>
      <c r="N11" s="38">
        <f>L11*M$7/2</f>
        <v>0</v>
      </c>
      <c r="O11" s="2" t="e">
        <f t="shared" si="3"/>
        <v>#NUM!</v>
      </c>
      <c r="P11" s="38">
        <f t="shared" si="2"/>
        <v>3978873.5772973835</v>
      </c>
      <c r="Q11" s="1"/>
      <c r="R11" s="38"/>
      <c r="S11" s="2" t="e">
        <f>Q11-O11</f>
        <v>#NUM!</v>
      </c>
      <c r="T11" s="1" t="e">
        <f>100*(P11-R11)/R11</f>
        <v>#DIV/0!</v>
      </c>
    </row>
    <row r="12" spans="1:26" x14ac:dyDescent="0.25">
      <c r="L12" s="57"/>
      <c r="M12" s="57"/>
      <c r="N12" s="57"/>
      <c r="O12" s="57"/>
      <c r="Q12" s="20"/>
      <c r="R12" s="20"/>
    </row>
    <row r="13" spans="1:26" ht="18" x14ac:dyDescent="0.25">
      <c r="B13" s="11" t="s">
        <v>53</v>
      </c>
      <c r="C13" s="12"/>
      <c r="D13" s="12"/>
      <c r="E13" s="29"/>
      <c r="F13" s="4"/>
      <c r="G13" s="4"/>
      <c r="H13" s="4"/>
      <c r="I13" s="4"/>
      <c r="J13" s="4"/>
      <c r="K13" s="4"/>
      <c r="L13" s="4"/>
    </row>
    <row r="14" spans="1:26" ht="13.8" x14ac:dyDescent="0.3">
      <c r="A14" s="10"/>
      <c r="B14" s="10"/>
      <c r="C14" s="10"/>
      <c r="D14" s="39"/>
      <c r="E14" s="40"/>
      <c r="F14" s="10"/>
      <c r="G14" s="10"/>
      <c r="H14" s="10"/>
      <c r="I14" s="10"/>
      <c r="J14" s="24" t="s">
        <v>6</v>
      </c>
      <c r="K14" s="41"/>
      <c r="L14" s="41"/>
      <c r="M14" s="41" t="s">
        <v>5</v>
      </c>
      <c r="N14" s="41"/>
      <c r="O14" s="42"/>
      <c r="P14" s="24" t="s">
        <v>6</v>
      </c>
      <c r="Q14" s="59"/>
      <c r="R14" s="46" t="s">
        <v>7</v>
      </c>
      <c r="S14" s="59"/>
      <c r="T14" s="26"/>
      <c r="U14" s="40"/>
      <c r="V14" s="40"/>
      <c r="W14" s="40"/>
      <c r="X14" s="40"/>
      <c r="Y14" s="40"/>
    </row>
    <row r="15" spans="1:26" ht="18" customHeight="1" thickBot="1" x14ac:dyDescent="0.4">
      <c r="A15" s="3"/>
      <c r="B15" s="4"/>
      <c r="C15" s="4"/>
      <c r="D15" s="4"/>
      <c r="E15" s="4"/>
      <c r="F15" s="4"/>
      <c r="G15" s="4"/>
      <c r="H15" s="4"/>
      <c r="I15" s="4"/>
      <c r="J15" s="53" t="s">
        <v>43</v>
      </c>
      <c r="K15" s="55"/>
      <c r="L15" s="62"/>
      <c r="M15" s="62"/>
      <c r="N15" s="62"/>
      <c r="O15" s="63"/>
      <c r="P15" s="45"/>
      <c r="Q15" s="45"/>
      <c r="R15" s="60"/>
      <c r="S15" s="61"/>
      <c r="T15" s="61"/>
    </row>
    <row r="16" spans="1:26" s="6" customFormat="1" ht="27.6" thickBot="1" x14ac:dyDescent="0.35">
      <c r="A16" s="47"/>
      <c r="B16" s="48"/>
      <c r="C16" s="49"/>
      <c r="F16" s="5"/>
      <c r="G16" s="5"/>
      <c r="H16" s="5"/>
      <c r="I16" s="5"/>
      <c r="J16" s="5"/>
      <c r="K16" s="5"/>
      <c r="L16" s="54" t="s">
        <v>38</v>
      </c>
      <c r="M16" s="34" t="s">
        <v>0</v>
      </c>
      <c r="N16" s="35" t="s">
        <v>0</v>
      </c>
      <c r="O16" s="35" t="s">
        <v>3</v>
      </c>
      <c r="P16" s="35" t="s">
        <v>1</v>
      </c>
      <c r="Q16" s="36" t="s">
        <v>3</v>
      </c>
      <c r="R16" s="35" t="s">
        <v>14</v>
      </c>
      <c r="S16" s="36" t="s">
        <v>3</v>
      </c>
      <c r="W16"/>
    </row>
    <row r="17" spans="1:24" s="6" customFormat="1" ht="29.4" thickBot="1" x14ac:dyDescent="0.35">
      <c r="A17" s="7" t="s">
        <v>19</v>
      </c>
      <c r="B17" s="7" t="s">
        <v>2</v>
      </c>
      <c r="C17" s="7" t="s">
        <v>52</v>
      </c>
      <c r="D17" s="7" t="s">
        <v>50</v>
      </c>
      <c r="E17" s="7" t="s">
        <v>42</v>
      </c>
      <c r="F17" s="7" t="s">
        <v>41</v>
      </c>
      <c r="G17" s="7" t="s">
        <v>40</v>
      </c>
      <c r="H17" s="7" t="s">
        <v>39</v>
      </c>
      <c r="I17" s="50" t="s">
        <v>48</v>
      </c>
      <c r="J17" s="50" t="s">
        <v>44</v>
      </c>
      <c r="K17" s="50" t="s">
        <v>49</v>
      </c>
      <c r="L17" s="34" t="s">
        <v>24</v>
      </c>
      <c r="M17" s="34" t="s">
        <v>25</v>
      </c>
      <c r="N17" s="35" t="s">
        <v>17</v>
      </c>
      <c r="O17" s="35" t="s">
        <v>4</v>
      </c>
      <c r="P17" s="35" t="s">
        <v>17</v>
      </c>
      <c r="Q17" s="36" t="s">
        <v>4</v>
      </c>
      <c r="R17" s="35" t="s">
        <v>17</v>
      </c>
      <c r="S17" s="36" t="s">
        <v>13</v>
      </c>
    </row>
    <row r="18" spans="1:24" x14ac:dyDescent="0.25">
      <c r="A18" s="9">
        <v>2</v>
      </c>
      <c r="B18" s="9">
        <v>2E-12</v>
      </c>
      <c r="C18" s="9">
        <v>10000</v>
      </c>
      <c r="D18" s="8">
        <v>0</v>
      </c>
      <c r="E18" s="8">
        <v>0</v>
      </c>
      <c r="F18" s="8">
        <v>0</v>
      </c>
      <c r="G18" s="8">
        <v>0</v>
      </c>
      <c r="H18" s="8">
        <v>2.5</v>
      </c>
      <c r="I18" s="9">
        <v>4000</v>
      </c>
      <c r="J18" s="9">
        <f>J7</f>
        <v>0</v>
      </c>
      <c r="K18" s="56">
        <f>K7</f>
        <v>0</v>
      </c>
      <c r="L18" s="38">
        <f>J$18/(1+C18*J$18)/2</f>
        <v>0</v>
      </c>
      <c r="M18" s="38">
        <f>C$18/I18</f>
        <v>2.5</v>
      </c>
      <c r="N18" s="2">
        <f>20*LOG(M18)</f>
        <v>7.9588001734407516</v>
      </c>
      <c r="O18" s="38">
        <f>L$18/(2*PI()*B$18)</f>
        <v>0</v>
      </c>
      <c r="P18" s="1">
        <v>7.84</v>
      </c>
      <c r="Q18" s="38"/>
      <c r="R18" s="2">
        <f>P18-N18</f>
        <v>-0.11880017344075178</v>
      </c>
      <c r="S18" s="1" t="e">
        <f>100*(O18-Q18)/Q18</f>
        <v>#DIV/0!</v>
      </c>
    </row>
    <row r="19" spans="1:24" x14ac:dyDescent="0.25">
      <c r="B19" s="10"/>
      <c r="C19" s="10"/>
      <c r="D19" s="8">
        <v>0</v>
      </c>
      <c r="E19" s="8">
        <v>0</v>
      </c>
      <c r="F19" s="8">
        <v>0</v>
      </c>
      <c r="G19" s="8">
        <v>2.5</v>
      </c>
      <c r="H19" s="8">
        <v>0</v>
      </c>
      <c r="I19" s="9">
        <v>5000</v>
      </c>
      <c r="L19" s="38"/>
      <c r="M19" s="38">
        <f t="shared" ref="M19:M22" si="4">C$18/I19</f>
        <v>2</v>
      </c>
      <c r="N19" s="2">
        <f t="shared" ref="N19:N22" si="5">20*LOG(M19)</f>
        <v>6.0205999132796242</v>
      </c>
      <c r="O19" s="38">
        <f t="shared" ref="O19:O22" si="6">L$18/(2*PI()*B$18)</f>
        <v>0</v>
      </c>
      <c r="P19" s="1">
        <v>5.96</v>
      </c>
      <c r="Q19" s="38"/>
      <c r="R19" s="2">
        <f>P19-N19</f>
        <v>-6.0599913279624218E-2</v>
      </c>
      <c r="S19" s="1" t="e">
        <f>100*(O19-Q19)/Q19</f>
        <v>#DIV/0!</v>
      </c>
    </row>
    <row r="20" spans="1:24" x14ac:dyDescent="0.25">
      <c r="B20" s="10"/>
      <c r="C20" s="10"/>
      <c r="D20" s="8">
        <v>0</v>
      </c>
      <c r="E20" s="8">
        <v>0</v>
      </c>
      <c r="F20" s="8">
        <v>2.5</v>
      </c>
      <c r="G20" s="8">
        <v>0</v>
      </c>
      <c r="H20" s="8">
        <v>0</v>
      </c>
      <c r="I20" s="9">
        <v>6300</v>
      </c>
      <c r="K20" s="57"/>
      <c r="L20" s="38"/>
      <c r="M20" s="38">
        <f t="shared" si="4"/>
        <v>1.5873015873015872</v>
      </c>
      <c r="N20" s="2">
        <f t="shared" si="5"/>
        <v>4.0131890109283654</v>
      </c>
      <c r="O20" s="38">
        <f t="shared" si="6"/>
        <v>0</v>
      </c>
      <c r="P20" s="1">
        <v>4.03</v>
      </c>
      <c r="Q20" s="38"/>
      <c r="R20" s="2">
        <f>P20-N20</f>
        <v>1.6810989071634808E-2</v>
      </c>
      <c r="S20" s="1" t="e">
        <f>100*(O20-Q20)/Q20</f>
        <v>#DIV/0!</v>
      </c>
    </row>
    <row r="21" spans="1:24" x14ac:dyDescent="0.25">
      <c r="B21" s="10"/>
      <c r="C21" s="10"/>
      <c r="D21" s="8">
        <v>0</v>
      </c>
      <c r="E21" s="8">
        <v>2.5</v>
      </c>
      <c r="F21" s="8">
        <v>0</v>
      </c>
      <c r="G21" s="8">
        <v>0</v>
      </c>
      <c r="H21" s="8">
        <v>0</v>
      </c>
      <c r="I21" s="9">
        <v>8000</v>
      </c>
      <c r="K21" s="57"/>
      <c r="L21" s="38"/>
      <c r="M21" s="38">
        <f t="shared" si="4"/>
        <v>1.25</v>
      </c>
      <c r="N21" s="2">
        <f t="shared" si="5"/>
        <v>1.9382002601611283</v>
      </c>
      <c r="O21" s="38">
        <f t="shared" si="6"/>
        <v>0</v>
      </c>
      <c r="P21" s="1">
        <v>2.02</v>
      </c>
      <c r="Q21" s="38"/>
      <c r="R21" s="2">
        <f>P21-N21</f>
        <v>8.1799739838871677E-2</v>
      </c>
      <c r="S21" s="1" t="e">
        <f>100*(O21-Q21)/Q21</f>
        <v>#DIV/0!</v>
      </c>
    </row>
    <row r="22" spans="1:24" x14ac:dyDescent="0.25">
      <c r="B22" s="10"/>
      <c r="C22" s="10"/>
      <c r="D22" s="8">
        <v>2.5</v>
      </c>
      <c r="E22" s="8">
        <v>0</v>
      </c>
      <c r="F22" s="8">
        <v>0</v>
      </c>
      <c r="G22" s="8">
        <v>0</v>
      </c>
      <c r="H22" s="8">
        <v>0</v>
      </c>
      <c r="I22" s="9">
        <v>10000</v>
      </c>
      <c r="K22" s="57"/>
      <c r="L22" s="38"/>
      <c r="M22" s="38">
        <f t="shared" si="4"/>
        <v>1</v>
      </c>
      <c r="N22" s="2">
        <f t="shared" si="5"/>
        <v>0</v>
      </c>
      <c r="O22" s="38">
        <f t="shared" si="6"/>
        <v>0</v>
      </c>
      <c r="P22" s="1">
        <v>0.16700000000000001</v>
      </c>
      <c r="Q22" s="38"/>
      <c r="R22" s="2">
        <f>P22-N22</f>
        <v>0.16700000000000001</v>
      </c>
      <c r="S22" s="1" t="e">
        <f>100*(O22-Q22)/Q22</f>
        <v>#DIV/0!</v>
      </c>
    </row>
    <row r="23" spans="1:24" x14ac:dyDescent="0.25">
      <c r="M23" s="57"/>
      <c r="N23" s="58"/>
      <c r="O23" s="57"/>
      <c r="P23" s="57"/>
      <c r="R23" s="57"/>
    </row>
    <row r="24" spans="1:24" s="6" customFormat="1" ht="18" x14ac:dyDescent="0.3">
      <c r="A24" s="5"/>
      <c r="B24" s="11" t="s">
        <v>54</v>
      </c>
      <c r="C24" s="12"/>
      <c r="D24" s="12"/>
      <c r="E24" s="29"/>
      <c r="F24" s="5"/>
      <c r="G24" s="5"/>
      <c r="H24" s="5"/>
      <c r="I24" s="5"/>
      <c r="J24" s="5"/>
      <c r="K24" s="5"/>
      <c r="L24" s="6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B25" s="30" t="s">
        <v>18</v>
      </c>
    </row>
    <row r="26" spans="1:24" ht="14.4" x14ac:dyDescent="0.25">
      <c r="B26" s="7" t="s">
        <v>19</v>
      </c>
      <c r="C26" s="7" t="s">
        <v>20</v>
      </c>
      <c r="D26" s="7" t="s">
        <v>21</v>
      </c>
      <c r="E26" s="7" t="s">
        <v>22</v>
      </c>
    </row>
    <row r="27" spans="1:24" x14ac:dyDescent="0.25">
      <c r="B27" s="9">
        <v>2</v>
      </c>
      <c r="C27" s="9">
        <v>10000</v>
      </c>
      <c r="D27" s="9">
        <v>5000</v>
      </c>
      <c r="E27" s="9">
        <v>9.9999999999999998E-13</v>
      </c>
    </row>
    <row r="28" spans="1:24" ht="13.8" thickBot="1" x14ac:dyDescent="0.3"/>
    <row r="29" spans="1:24" s="15" customFormat="1" ht="27" customHeight="1" thickBot="1" x14ac:dyDescent="0.35">
      <c r="A29" s="68" t="s">
        <v>5</v>
      </c>
      <c r="B29" s="69"/>
      <c r="C29" s="69"/>
      <c r="D29" s="70"/>
      <c r="E29" s="67" t="s">
        <v>6</v>
      </c>
      <c r="F29" s="67"/>
      <c r="G29" s="73" t="s">
        <v>7</v>
      </c>
      <c r="H29" s="74"/>
    </row>
    <row r="30" spans="1:24" s="15" customFormat="1" ht="14.4" thickBot="1" x14ac:dyDescent="0.35">
      <c r="A30" s="71"/>
      <c r="B30" s="71"/>
      <c r="C30" s="71"/>
      <c r="D30" s="72"/>
      <c r="E30" s="16"/>
      <c r="F30" s="16"/>
      <c r="G30" s="65"/>
      <c r="H30" s="66"/>
    </row>
    <row r="31" spans="1:24" s="37" customFormat="1" ht="13.8" thickBot="1" x14ac:dyDescent="0.3">
      <c r="A31" s="34" t="s">
        <v>23</v>
      </c>
      <c r="B31" s="34" t="s">
        <v>0</v>
      </c>
      <c r="C31" s="35" t="s">
        <v>0</v>
      </c>
      <c r="D31" s="35" t="s">
        <v>3</v>
      </c>
      <c r="E31" s="35" t="s">
        <v>1</v>
      </c>
      <c r="F31" s="36" t="s">
        <v>3</v>
      </c>
      <c r="G31" s="35" t="s">
        <v>14</v>
      </c>
      <c r="H31" s="36" t="s">
        <v>3</v>
      </c>
    </row>
    <row r="32" spans="1:24" x14ac:dyDescent="0.25">
      <c r="A32" s="21" t="s">
        <v>24</v>
      </c>
      <c r="B32" s="21" t="s">
        <v>25</v>
      </c>
      <c r="C32" s="22" t="s">
        <v>17</v>
      </c>
      <c r="D32" s="22" t="s">
        <v>4</v>
      </c>
      <c r="E32" s="22" t="s">
        <v>17</v>
      </c>
      <c r="F32" s="23" t="s">
        <v>4</v>
      </c>
      <c r="G32" s="22" t="s">
        <v>17</v>
      </c>
      <c r="H32" s="23" t="s">
        <v>13</v>
      </c>
      <c r="I32" s="51"/>
      <c r="J32" s="51"/>
      <c r="K32" s="51"/>
      <c r="L32" s="51"/>
    </row>
    <row r="33" spans="1:27" x14ac:dyDescent="0.25">
      <c r="A33" s="1">
        <f>2*B27/C27</f>
        <v>4.0000000000000002E-4</v>
      </c>
      <c r="B33" s="38">
        <f>A33*D27</f>
        <v>2</v>
      </c>
      <c r="C33" s="2">
        <f>20*LOG(B33)</f>
        <v>6.0205999132796242</v>
      </c>
      <c r="D33" s="38">
        <f>1/(2*PI()*D27*E27)</f>
        <v>31830988.618379068</v>
      </c>
      <c r="E33" s="1"/>
      <c r="F33" s="38"/>
      <c r="G33" s="2">
        <f>E33-C33</f>
        <v>-6.0205999132796242</v>
      </c>
      <c r="H33" s="1" t="e">
        <f>100*(D33-F33)/F33</f>
        <v>#DIV/0!</v>
      </c>
      <c r="I33" s="52"/>
      <c r="J33" s="52"/>
      <c r="K33" s="52"/>
      <c r="L33" s="52"/>
    </row>
    <row r="35" spans="1:27" s="13" customFormat="1" ht="18" x14ac:dyDescent="0.35">
      <c r="A35" s="14" t="s">
        <v>8</v>
      </c>
    </row>
    <row r="36" spans="1:27" ht="14.4" x14ac:dyDescent="0.3">
      <c r="B36" s="17" t="s">
        <v>14</v>
      </c>
      <c r="C36" s="17" t="s">
        <v>9</v>
      </c>
      <c r="D36" s="17" t="s">
        <v>10</v>
      </c>
      <c r="E36" s="17" t="s">
        <v>11</v>
      </c>
    </row>
    <row r="37" spans="1:27" ht="14.4" x14ac:dyDescent="0.3">
      <c r="B37" s="18" t="s">
        <v>17</v>
      </c>
      <c r="C37" s="18" t="s">
        <v>12</v>
      </c>
      <c r="D37" s="18" t="s">
        <v>12</v>
      </c>
      <c r="E37" s="18" t="s">
        <v>13</v>
      </c>
    </row>
    <row r="38" spans="1:27" x14ac:dyDescent="0.25">
      <c r="A38" s="20"/>
      <c r="B38" s="2">
        <f>C33</f>
        <v>6.0205999132796242</v>
      </c>
      <c r="C38" s="19"/>
      <c r="D38" s="19"/>
      <c r="E38" s="19"/>
    </row>
    <row r="41" spans="1:27" ht="13.8" x14ac:dyDescent="0.3">
      <c r="H41" s="41"/>
      <c r="I41" s="41" t="s">
        <v>5</v>
      </c>
      <c r="J41" s="41"/>
      <c r="K41" s="42"/>
      <c r="L41" s="24" t="s">
        <v>6</v>
      </c>
      <c r="M41" s="25"/>
      <c r="N41" s="46" t="s">
        <v>7</v>
      </c>
      <c r="O41" s="25"/>
      <c r="P41" s="26"/>
    </row>
    <row r="42" spans="1:27" ht="18" customHeight="1" thickBot="1" x14ac:dyDescent="0.4">
      <c r="A42" s="3" t="s">
        <v>26</v>
      </c>
      <c r="B42" s="4"/>
      <c r="C42" s="4"/>
      <c r="D42" s="4"/>
      <c r="E42" s="4"/>
      <c r="F42" s="4"/>
      <c r="G42" s="4"/>
      <c r="H42" s="43"/>
      <c r="I42" s="43"/>
      <c r="J42" s="43"/>
      <c r="K42" s="44"/>
      <c r="L42" s="45"/>
      <c r="M42" s="45"/>
      <c r="N42" s="27"/>
      <c r="O42" s="28"/>
      <c r="P42" s="28"/>
    </row>
    <row r="43" spans="1:27" s="6" customFormat="1" ht="27.6" thickBot="1" x14ac:dyDescent="0.35">
      <c r="A43" s="11" t="s">
        <v>27</v>
      </c>
      <c r="B43" s="12"/>
      <c r="C43" s="5"/>
      <c r="F43" s="5"/>
      <c r="G43" s="5"/>
      <c r="H43" s="34" t="s">
        <v>23</v>
      </c>
      <c r="I43" s="34" t="s">
        <v>0</v>
      </c>
      <c r="J43" s="35" t="s">
        <v>0</v>
      </c>
      <c r="K43" s="35" t="s">
        <v>3</v>
      </c>
      <c r="L43" s="35" t="s">
        <v>1</v>
      </c>
      <c r="M43" s="36" t="s">
        <v>3</v>
      </c>
      <c r="N43" s="35" t="s">
        <v>14</v>
      </c>
      <c r="O43" s="36" t="s">
        <v>3</v>
      </c>
      <c r="S43"/>
    </row>
    <row r="44" spans="1:27" s="6" customFormat="1" ht="15" thickBot="1" x14ac:dyDescent="0.35">
      <c r="A44" s="7" t="s">
        <v>19</v>
      </c>
      <c r="B44" s="7" t="s">
        <v>2</v>
      </c>
      <c r="C44" s="7" t="s">
        <v>21</v>
      </c>
      <c r="D44" s="7" t="s">
        <v>32</v>
      </c>
      <c r="E44" s="7" t="s">
        <v>29</v>
      </c>
      <c r="F44" s="7" t="s">
        <v>30</v>
      </c>
      <c r="G44" s="7" t="s">
        <v>31</v>
      </c>
      <c r="H44" s="34" t="s">
        <v>24</v>
      </c>
      <c r="I44" s="34" t="s">
        <v>25</v>
      </c>
      <c r="J44" s="35" t="s">
        <v>17</v>
      </c>
      <c r="K44" s="35" t="s">
        <v>4</v>
      </c>
      <c r="L44" s="35" t="s">
        <v>17</v>
      </c>
      <c r="M44" s="36" t="s">
        <v>4</v>
      </c>
      <c r="N44" s="35" t="s">
        <v>17</v>
      </c>
      <c r="O44" s="36" t="s">
        <v>13</v>
      </c>
    </row>
    <row r="45" spans="1:27" x14ac:dyDescent="0.25">
      <c r="A45" s="9">
        <v>2</v>
      </c>
      <c r="B45" s="9">
        <v>2E-12</v>
      </c>
      <c r="C45" s="9">
        <v>10000</v>
      </c>
      <c r="D45" s="9">
        <v>5000</v>
      </c>
      <c r="E45" s="8">
        <v>0</v>
      </c>
      <c r="F45" s="8">
        <v>2</v>
      </c>
      <c r="G45" s="8">
        <v>2</v>
      </c>
      <c r="H45" s="38">
        <f>2*A$45/(2*D45)</f>
        <v>4.0000000000000002E-4</v>
      </c>
      <c r="I45" s="38">
        <f>H45*C$45</f>
        <v>4</v>
      </c>
      <c r="J45" s="2">
        <f>20*LOG(I45)</f>
        <v>12.041199826559248</v>
      </c>
      <c r="K45" s="38">
        <f>1/(2*PI()*B$45*C$45)</f>
        <v>7957747.1545947669</v>
      </c>
      <c r="L45" s="1"/>
      <c r="M45" s="38"/>
      <c r="N45" s="2">
        <f>L45-J45</f>
        <v>-12.041199826559248</v>
      </c>
      <c r="O45" s="1" t="e">
        <f>100*(K45-M45)/M45</f>
        <v>#DIV/0!</v>
      </c>
    </row>
    <row r="46" spans="1:27" x14ac:dyDescent="0.25">
      <c r="B46" s="10"/>
      <c r="C46" s="10"/>
      <c r="D46" s="9">
        <v>10000</v>
      </c>
      <c r="E46" s="8">
        <v>2</v>
      </c>
      <c r="F46" s="8">
        <v>0</v>
      </c>
      <c r="G46" s="8">
        <v>2</v>
      </c>
      <c r="H46" s="38">
        <f>2*A$45/(2*D46)</f>
        <v>2.0000000000000001E-4</v>
      </c>
      <c r="I46" s="38">
        <f>H46*C$45</f>
        <v>2</v>
      </c>
      <c r="J46" s="2">
        <f>20*LOG(I46)</f>
        <v>6.0205999132796242</v>
      </c>
      <c r="K46" s="38">
        <f>1/(2*PI()*B$45*C$45)</f>
        <v>7957747.1545947669</v>
      </c>
      <c r="L46" s="1"/>
      <c r="M46" s="38"/>
      <c r="N46" s="2">
        <f t="shared" ref="N46:N47" si="7">L46-J46</f>
        <v>-6.0205999132796242</v>
      </c>
      <c r="O46" s="1" t="e">
        <f t="shared" ref="O46:O47" si="8">100*(K46-M46)/M46</f>
        <v>#DIV/0!</v>
      </c>
    </row>
    <row r="47" spans="1:27" x14ac:dyDescent="0.25">
      <c r="B47" s="10"/>
      <c r="C47" s="10"/>
      <c r="D47" s="9">
        <v>20000</v>
      </c>
      <c r="E47" s="8">
        <v>2</v>
      </c>
      <c r="F47" s="8">
        <v>2</v>
      </c>
      <c r="G47" s="8">
        <v>0</v>
      </c>
      <c r="H47" s="38">
        <f>2*A$45/(2*D47)</f>
        <v>1E-4</v>
      </c>
      <c r="I47" s="38">
        <f>H47*C$45</f>
        <v>1</v>
      </c>
      <c r="J47" s="2">
        <f>20*LOG(I47)</f>
        <v>0</v>
      </c>
      <c r="K47" s="38">
        <f>1/(2*PI()*B$45*C$45)</f>
        <v>7957747.1545947669</v>
      </c>
      <c r="L47" s="1"/>
      <c r="M47" s="38"/>
      <c r="N47" s="2">
        <f t="shared" si="7"/>
        <v>0</v>
      </c>
      <c r="O47" s="1" t="e">
        <f t="shared" si="8"/>
        <v>#DIV/0!</v>
      </c>
    </row>
    <row r="48" spans="1:27" x14ac:dyDescent="0.2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Z48" s="10"/>
      <c r="AA48" s="10"/>
    </row>
    <row r="49" spans="1:2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7" s="13" customFormat="1" ht="18" x14ac:dyDescent="0.35">
      <c r="A50" s="14" t="s">
        <v>8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7" ht="18" x14ac:dyDescent="0.35">
      <c r="B51" s="17" t="s">
        <v>14</v>
      </c>
      <c r="C51" s="17" t="s">
        <v>9</v>
      </c>
      <c r="D51" s="17" t="s">
        <v>10</v>
      </c>
      <c r="E51" s="17" t="s">
        <v>11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7" ht="14.4" x14ac:dyDescent="0.3">
      <c r="B52" s="18" t="s">
        <v>17</v>
      </c>
      <c r="C52" s="18" t="s">
        <v>12</v>
      </c>
      <c r="D52" s="18" t="s">
        <v>12</v>
      </c>
      <c r="E52" s="18" t="s">
        <v>13</v>
      </c>
    </row>
    <row r="53" spans="1:27" x14ac:dyDescent="0.25">
      <c r="A53" s="20" t="s">
        <v>15</v>
      </c>
      <c r="B53" s="1"/>
      <c r="C53" s="19"/>
      <c r="D53" s="19"/>
      <c r="E53" s="19"/>
    </row>
    <row r="54" spans="1:27" x14ac:dyDescent="0.25">
      <c r="A54" s="20" t="s">
        <v>16</v>
      </c>
      <c r="B54" s="1"/>
      <c r="C54" s="19"/>
      <c r="D54" s="19"/>
      <c r="E54" s="19"/>
    </row>
    <row r="55" spans="1:27" x14ac:dyDescent="0.25">
      <c r="A55" s="10"/>
      <c r="B55" s="10"/>
      <c r="C55" s="10"/>
      <c r="D55" s="39"/>
      <c r="E55" s="40"/>
      <c r="F55" s="10"/>
      <c r="G55" s="10"/>
      <c r="H55" s="40"/>
      <c r="I55" s="40"/>
      <c r="J55" s="40"/>
      <c r="K55" s="40"/>
      <c r="L55" s="40"/>
    </row>
    <row r="56" spans="1:27" ht="13.8" x14ac:dyDescent="0.3">
      <c r="A56" s="10"/>
      <c r="B56" s="10"/>
      <c r="C56" s="10"/>
      <c r="D56" s="39"/>
      <c r="E56" s="40"/>
      <c r="F56" s="10"/>
      <c r="G56" s="10"/>
      <c r="H56" s="41"/>
      <c r="I56" s="41" t="s">
        <v>5</v>
      </c>
      <c r="J56" s="41"/>
      <c r="K56" s="42"/>
      <c r="L56" s="24" t="s">
        <v>6</v>
      </c>
      <c r="M56" s="25"/>
      <c r="N56" s="46" t="s">
        <v>7</v>
      </c>
      <c r="O56" s="25"/>
      <c r="P56" s="26"/>
      <c r="Q56" s="40"/>
      <c r="R56" s="40"/>
      <c r="S56" s="40"/>
      <c r="T56" s="40"/>
      <c r="U56" s="40"/>
    </row>
    <row r="57" spans="1:27" ht="18" customHeight="1" thickBot="1" x14ac:dyDescent="0.4">
      <c r="A57" s="3" t="s">
        <v>33</v>
      </c>
      <c r="B57" s="4"/>
      <c r="C57" s="4"/>
      <c r="D57" s="4"/>
      <c r="E57" s="4"/>
      <c r="F57" s="4"/>
      <c r="G57" s="4"/>
      <c r="H57" s="43"/>
      <c r="I57" s="43"/>
      <c r="J57" s="43"/>
      <c r="K57" s="44"/>
      <c r="L57" s="45"/>
      <c r="M57" s="45"/>
      <c r="N57" s="27"/>
      <c r="O57" s="28"/>
      <c r="P57" s="28"/>
    </row>
    <row r="58" spans="1:27" s="6" customFormat="1" ht="27.6" thickBot="1" x14ac:dyDescent="0.35">
      <c r="A58" s="11" t="s">
        <v>34</v>
      </c>
      <c r="B58" s="12"/>
      <c r="C58" s="5"/>
      <c r="F58" s="5"/>
      <c r="G58" s="5"/>
      <c r="H58" s="34" t="s">
        <v>23</v>
      </c>
      <c r="I58" s="34" t="s">
        <v>0</v>
      </c>
      <c r="J58" s="35" t="s">
        <v>0</v>
      </c>
      <c r="K58" s="35" t="s">
        <v>3</v>
      </c>
      <c r="L58" s="35" t="s">
        <v>1</v>
      </c>
      <c r="M58" s="36" t="s">
        <v>3</v>
      </c>
      <c r="N58" s="35" t="s">
        <v>14</v>
      </c>
      <c r="O58" s="36" t="s">
        <v>3</v>
      </c>
      <c r="S58"/>
    </row>
    <row r="59" spans="1:27" s="6" customFormat="1" ht="15" thickBot="1" x14ac:dyDescent="0.35">
      <c r="A59" s="7" t="s">
        <v>19</v>
      </c>
      <c r="B59" s="7" t="s">
        <v>2</v>
      </c>
      <c r="C59" s="7" t="s">
        <v>21</v>
      </c>
      <c r="D59" s="7" t="s">
        <v>32</v>
      </c>
      <c r="E59" s="7" t="s">
        <v>29</v>
      </c>
      <c r="F59" s="7" t="s">
        <v>30</v>
      </c>
      <c r="G59" s="7" t="s">
        <v>31</v>
      </c>
      <c r="H59" s="34" t="s">
        <v>24</v>
      </c>
      <c r="I59" s="34" t="s">
        <v>25</v>
      </c>
      <c r="J59" s="35" t="s">
        <v>17</v>
      </c>
      <c r="K59" s="35" t="s">
        <v>4</v>
      </c>
      <c r="L59" s="35" t="s">
        <v>17</v>
      </c>
      <c r="M59" s="36" t="s">
        <v>4</v>
      </c>
      <c r="N59" s="35" t="s">
        <v>17</v>
      </c>
      <c r="O59" s="36" t="s">
        <v>13</v>
      </c>
    </row>
    <row r="60" spans="1:27" x14ac:dyDescent="0.25">
      <c r="A60" s="9">
        <v>2</v>
      </c>
      <c r="B60" s="9">
        <v>2E-12</v>
      </c>
      <c r="C60" s="9">
        <v>10000</v>
      </c>
      <c r="D60" s="9">
        <v>5000</v>
      </c>
      <c r="E60" s="8">
        <v>2</v>
      </c>
      <c r="F60" s="8">
        <v>0</v>
      </c>
      <c r="G60" s="8">
        <v>0</v>
      </c>
      <c r="H60" s="38">
        <f>2*A$60/(2*D60)</f>
        <v>4.0000000000000002E-4</v>
      </c>
      <c r="I60" s="38">
        <f>H60*C$60</f>
        <v>4</v>
      </c>
      <c r="J60" s="2">
        <f>20*LOG(I60)</f>
        <v>12.041199826559248</v>
      </c>
      <c r="K60" s="38">
        <f>1/(2*PI()*B$60*C$60)</f>
        <v>7957747.1545947669</v>
      </c>
      <c r="L60" s="1"/>
      <c r="M60" s="38"/>
      <c r="N60" s="2">
        <f>L60-J60</f>
        <v>-12.041199826559248</v>
      </c>
      <c r="O60" s="1" t="e">
        <f>100*(K60-M60)/M60</f>
        <v>#DIV/0!</v>
      </c>
    </row>
    <row r="61" spans="1:27" x14ac:dyDescent="0.25">
      <c r="B61" s="10"/>
      <c r="C61" s="10"/>
      <c r="D61" s="9">
        <v>10000</v>
      </c>
      <c r="E61" s="8">
        <v>0</v>
      </c>
      <c r="F61" s="8">
        <v>2</v>
      </c>
      <c r="G61" s="8">
        <v>0</v>
      </c>
      <c r="H61" s="38">
        <f t="shared" ref="H61:H62" si="9">2*A$60/(2*D61)</f>
        <v>2.0000000000000001E-4</v>
      </c>
      <c r="I61" s="38">
        <f>H61*C$60</f>
        <v>2</v>
      </c>
      <c r="J61" s="2">
        <f>20*LOG(I61)</f>
        <v>6.0205999132796242</v>
      </c>
      <c r="K61" s="38">
        <f>1/(2*PI()*B$60*C$60)</f>
        <v>7957747.1545947669</v>
      </c>
      <c r="L61" s="1"/>
      <c r="M61" s="38"/>
      <c r="N61" s="2">
        <f>L61-J61</f>
        <v>-6.0205999132796242</v>
      </c>
      <c r="O61" s="1" t="e">
        <f>100*(K61-M61)/M61</f>
        <v>#DIV/0!</v>
      </c>
    </row>
    <row r="62" spans="1:27" x14ac:dyDescent="0.25">
      <c r="B62" s="10"/>
      <c r="C62" s="10"/>
      <c r="D62" s="9">
        <v>20000</v>
      </c>
      <c r="E62" s="8">
        <v>0</v>
      </c>
      <c r="F62" s="8">
        <v>0</v>
      </c>
      <c r="G62" s="8">
        <v>2</v>
      </c>
      <c r="H62" s="38">
        <f t="shared" si="9"/>
        <v>1E-4</v>
      </c>
      <c r="I62" s="38">
        <f>H62*C$60</f>
        <v>1</v>
      </c>
      <c r="J62" s="2">
        <f>20*LOG(I62)</f>
        <v>0</v>
      </c>
      <c r="K62" s="38">
        <f>1/(2*PI()*B$60*C$60)</f>
        <v>7957747.1545947669</v>
      </c>
      <c r="L62" s="1"/>
      <c r="M62" s="38"/>
      <c r="N62" s="2">
        <f>L62-J62</f>
        <v>0</v>
      </c>
      <c r="O62" s="1" t="e">
        <f>100*(K62-M62)/M62</f>
        <v>#DIV/0!</v>
      </c>
    </row>
    <row r="63" spans="1:27" x14ac:dyDescent="0.2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Z63" s="10"/>
      <c r="AA63" s="10"/>
    </row>
    <row r="64" spans="1:27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4" s="13" customFormat="1" ht="18" x14ac:dyDescent="0.35">
      <c r="A65" s="14" t="s">
        <v>8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8" x14ac:dyDescent="0.35">
      <c r="B66" s="17" t="s">
        <v>14</v>
      </c>
      <c r="C66" s="17" t="s">
        <v>9</v>
      </c>
      <c r="D66" s="17" t="s">
        <v>10</v>
      </c>
      <c r="E66" s="17" t="s">
        <v>11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ht="14.4" x14ac:dyDescent="0.3">
      <c r="B67" s="18" t="s">
        <v>17</v>
      </c>
      <c r="C67" s="18" t="s">
        <v>12</v>
      </c>
      <c r="D67" s="18" t="s">
        <v>12</v>
      </c>
      <c r="E67" s="18" t="s">
        <v>13</v>
      </c>
    </row>
    <row r="68" spans="1:24" x14ac:dyDescent="0.25">
      <c r="A68" s="20" t="s">
        <v>15</v>
      </c>
      <c r="B68" s="1"/>
      <c r="C68" s="19"/>
      <c r="D68" s="19"/>
      <c r="E68" s="19"/>
    </row>
    <row r="69" spans="1:24" x14ac:dyDescent="0.25">
      <c r="A69" s="20" t="s">
        <v>16</v>
      </c>
      <c r="B69" s="1"/>
      <c r="C69" s="19"/>
      <c r="D69" s="19"/>
      <c r="E69" s="19"/>
    </row>
    <row r="70" spans="1:24" x14ac:dyDescent="0.25">
      <c r="A70" s="10"/>
      <c r="B70" s="10"/>
      <c r="C70" s="10"/>
      <c r="D70" s="39"/>
      <c r="E70" s="40"/>
      <c r="F70" s="10"/>
      <c r="G70" s="10"/>
    </row>
    <row r="71" spans="1:24" ht="13.8" x14ac:dyDescent="0.3">
      <c r="I71" s="41" t="s">
        <v>5</v>
      </c>
      <c r="J71" s="41"/>
      <c r="K71" s="42"/>
      <c r="L71" s="24" t="s">
        <v>6</v>
      </c>
      <c r="M71" s="25"/>
      <c r="N71" s="46" t="s">
        <v>7</v>
      </c>
      <c r="O71" s="25"/>
    </row>
    <row r="72" spans="1:24" ht="18" customHeight="1" thickBot="1" x14ac:dyDescent="0.4">
      <c r="A72" s="3" t="s">
        <v>35</v>
      </c>
      <c r="B72" s="4"/>
      <c r="C72" s="4"/>
      <c r="D72" s="4"/>
      <c r="E72" s="4"/>
      <c r="F72" s="4"/>
      <c r="G72" s="4"/>
      <c r="H72" s="43"/>
      <c r="I72" s="43"/>
      <c r="J72" s="43"/>
      <c r="K72" s="44"/>
      <c r="L72" s="45"/>
      <c r="M72" s="45"/>
      <c r="N72" s="27"/>
      <c r="O72" s="28"/>
      <c r="P72" s="28"/>
    </row>
    <row r="73" spans="1:24" s="6" customFormat="1" ht="27.6" thickBot="1" x14ac:dyDescent="0.35">
      <c r="A73" s="11" t="s">
        <v>36</v>
      </c>
      <c r="B73" s="12"/>
      <c r="C73" s="5"/>
      <c r="F73" s="5"/>
      <c r="G73" s="5"/>
      <c r="H73" s="34" t="s">
        <v>38</v>
      </c>
      <c r="I73" s="34" t="s">
        <v>0</v>
      </c>
      <c r="J73" s="35" t="s">
        <v>0</v>
      </c>
      <c r="K73" s="35" t="s">
        <v>3</v>
      </c>
      <c r="L73" s="35" t="s">
        <v>1</v>
      </c>
      <c r="M73" s="36" t="s">
        <v>3</v>
      </c>
      <c r="N73" s="35" t="s">
        <v>14</v>
      </c>
      <c r="O73" s="36" t="s">
        <v>3</v>
      </c>
      <c r="S73"/>
    </row>
    <row r="74" spans="1:24" s="6" customFormat="1" ht="15" thickBot="1" x14ac:dyDescent="0.35">
      <c r="A74" s="7" t="s">
        <v>19</v>
      </c>
      <c r="B74" s="7" t="s">
        <v>2</v>
      </c>
      <c r="C74" s="7" t="s">
        <v>37</v>
      </c>
      <c r="D74" s="7" t="s">
        <v>28</v>
      </c>
      <c r="E74" s="7" t="s">
        <v>29</v>
      </c>
      <c r="F74" s="7" t="s">
        <v>30</v>
      </c>
      <c r="G74" s="7" t="s">
        <v>31</v>
      </c>
      <c r="H74" s="34" t="s">
        <v>24</v>
      </c>
      <c r="I74" s="34" t="s">
        <v>25</v>
      </c>
      <c r="J74" s="35" t="s">
        <v>17</v>
      </c>
      <c r="K74" s="35" t="s">
        <v>4</v>
      </c>
      <c r="L74" s="35" t="s">
        <v>17</v>
      </c>
      <c r="M74" s="36" t="s">
        <v>4</v>
      </c>
      <c r="N74" s="35" t="s">
        <v>17</v>
      </c>
      <c r="O74" s="36" t="s">
        <v>13</v>
      </c>
    </row>
    <row r="75" spans="1:24" x14ac:dyDescent="0.25">
      <c r="A75" s="9">
        <v>2</v>
      </c>
      <c r="B75" s="9">
        <v>9.9999999999999998E-13</v>
      </c>
      <c r="C75" s="9">
        <v>10000</v>
      </c>
      <c r="D75" s="9">
        <v>1200</v>
      </c>
      <c r="E75" s="8">
        <v>0</v>
      </c>
      <c r="F75" s="8">
        <v>2</v>
      </c>
      <c r="G75" s="8">
        <v>2</v>
      </c>
      <c r="H75" s="38">
        <f>2*A$75/C$75</f>
        <v>4.0000000000000002E-4</v>
      </c>
      <c r="I75" s="38">
        <f>C$75/(2*D75)</f>
        <v>4.166666666666667</v>
      </c>
      <c r="J75" s="2">
        <f>20*LOG(I75)</f>
        <v>12.39577516576788</v>
      </c>
      <c r="K75" s="38">
        <f>H75/(2*PI()*B$75)</f>
        <v>63661977.236758143</v>
      </c>
      <c r="L75" s="1"/>
      <c r="M75" s="38"/>
      <c r="N75" s="2">
        <f>L75-J75</f>
        <v>-12.39577516576788</v>
      </c>
      <c r="O75" s="1" t="e">
        <f>100*(K75-M75)/M75</f>
        <v>#DIV/0!</v>
      </c>
    </row>
    <row r="76" spans="1:24" x14ac:dyDescent="0.25">
      <c r="B76" s="10"/>
      <c r="C76" s="10"/>
      <c r="D76" s="9">
        <v>2450</v>
      </c>
      <c r="E76" s="8">
        <v>2</v>
      </c>
      <c r="F76" s="8">
        <v>0</v>
      </c>
      <c r="G76" s="8">
        <v>2</v>
      </c>
      <c r="H76" s="38">
        <f t="shared" ref="H76:H77" si="10">2*A$75/C$75</f>
        <v>4.0000000000000002E-4</v>
      </c>
      <c r="I76" s="38">
        <f>C$75/(2*D76)</f>
        <v>2.0408163265306123</v>
      </c>
      <c r="J76" s="2">
        <f>20*LOG(I76)</f>
        <v>6.1960783994297275</v>
      </c>
      <c r="K76" s="38">
        <f>H76/(2*PI()*B$75)</f>
        <v>63661977.236758143</v>
      </c>
      <c r="L76" s="1"/>
      <c r="M76" s="38"/>
      <c r="N76" s="2">
        <f t="shared" ref="N76:N77" si="11">L76-J76</f>
        <v>-6.1960783994297275</v>
      </c>
      <c r="O76" s="1" t="e">
        <f t="shared" ref="O76:O77" si="12">100*(K76-M76)/M76</f>
        <v>#DIV/0!</v>
      </c>
    </row>
    <row r="77" spans="1:24" x14ac:dyDescent="0.25">
      <c r="B77" s="10"/>
      <c r="C77" s="10"/>
      <c r="D77" s="9">
        <v>4900</v>
      </c>
      <c r="E77" s="8">
        <v>2</v>
      </c>
      <c r="F77" s="8">
        <v>2</v>
      </c>
      <c r="G77" s="8">
        <v>0</v>
      </c>
      <c r="H77" s="38">
        <f t="shared" si="10"/>
        <v>4.0000000000000002E-4</v>
      </c>
      <c r="I77" s="38">
        <f>C$75/(2*D77)</f>
        <v>1.0204081632653061</v>
      </c>
      <c r="J77" s="2">
        <f>20*LOG(I77)</f>
        <v>0.17547848615010303</v>
      </c>
      <c r="K77" s="38">
        <f>H77/(2*PI()*B$75)</f>
        <v>63661977.236758143</v>
      </c>
      <c r="L77" s="1"/>
      <c r="M77" s="38"/>
      <c r="N77" s="2">
        <f t="shared" si="11"/>
        <v>-0.17547848615010303</v>
      </c>
      <c r="O77" s="1" t="e">
        <f t="shared" si="12"/>
        <v>#DIV/0!</v>
      </c>
    </row>
    <row r="78" spans="1:24" x14ac:dyDescent="0.2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U78" s="10"/>
      <c r="V78" s="10"/>
    </row>
    <row r="79" spans="1:24" s="13" customFormat="1" ht="18" x14ac:dyDescent="0.35">
      <c r="A79" s="14" t="s">
        <v>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24" ht="18" x14ac:dyDescent="0.35">
      <c r="B80" s="17" t="s">
        <v>14</v>
      </c>
      <c r="C80" s="17" t="s">
        <v>9</v>
      </c>
      <c r="D80" s="17" t="s">
        <v>10</v>
      </c>
      <c r="E80" s="17" t="s">
        <v>11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23" ht="14.4" x14ac:dyDescent="0.3">
      <c r="B81" s="18" t="s">
        <v>17</v>
      </c>
      <c r="C81" s="18" t="s">
        <v>12</v>
      </c>
      <c r="D81" s="18" t="s">
        <v>12</v>
      </c>
      <c r="E81" s="18" t="s">
        <v>13</v>
      </c>
    </row>
    <row r="82" spans="1:23" x14ac:dyDescent="0.25">
      <c r="A82" s="20" t="s">
        <v>15</v>
      </c>
      <c r="B82" s="1"/>
      <c r="C82" s="19"/>
      <c r="D82" s="19"/>
      <c r="E82" s="19"/>
    </row>
    <row r="83" spans="1:23" x14ac:dyDescent="0.25">
      <c r="A83" s="20" t="s">
        <v>16</v>
      </c>
      <c r="B83" s="1"/>
      <c r="C83" s="19"/>
      <c r="D83" s="19"/>
      <c r="E83" s="19"/>
    </row>
    <row r="85" spans="1:23" ht="13.8" x14ac:dyDescent="0.3">
      <c r="I85" s="41" t="s">
        <v>5</v>
      </c>
      <c r="J85" s="41"/>
      <c r="K85" s="42"/>
      <c r="L85" s="24" t="s">
        <v>6</v>
      </c>
      <c r="M85" s="25"/>
      <c r="N85" s="46" t="s">
        <v>7</v>
      </c>
      <c r="O85" s="25"/>
    </row>
    <row r="86" spans="1:23" ht="18" customHeight="1" thickBot="1" x14ac:dyDescent="0.4">
      <c r="A86" s="3" t="s">
        <v>55</v>
      </c>
      <c r="B86" s="4"/>
      <c r="C86" s="4"/>
      <c r="D86" s="4"/>
      <c r="E86" s="4"/>
      <c r="F86" s="4"/>
      <c r="G86" s="4"/>
      <c r="H86" s="43"/>
      <c r="I86" s="43"/>
      <c r="J86" s="43"/>
      <c r="K86" s="44"/>
      <c r="L86" s="45"/>
      <c r="M86" s="45"/>
      <c r="N86" s="27"/>
      <c r="O86" s="28"/>
      <c r="P86" s="28"/>
    </row>
    <row r="87" spans="1:23" s="6" customFormat="1" ht="27.6" thickBot="1" x14ac:dyDescent="0.35">
      <c r="A87" s="11" t="s">
        <v>56</v>
      </c>
      <c r="B87" s="12"/>
      <c r="C87" s="5"/>
      <c r="F87" s="5"/>
      <c r="G87" s="5"/>
      <c r="H87" s="34" t="s">
        <v>38</v>
      </c>
      <c r="I87" s="34" t="s">
        <v>0</v>
      </c>
      <c r="J87" s="35" t="s">
        <v>0</v>
      </c>
      <c r="K87" s="35" t="s">
        <v>3</v>
      </c>
      <c r="L87" s="35" t="s">
        <v>1</v>
      </c>
      <c r="M87" s="36" t="s">
        <v>3</v>
      </c>
      <c r="N87" s="35" t="s">
        <v>14</v>
      </c>
      <c r="O87" s="36" t="s">
        <v>3</v>
      </c>
      <c r="S87"/>
    </row>
    <row r="88" spans="1:23" s="6" customFormat="1" ht="15" thickBot="1" x14ac:dyDescent="0.35">
      <c r="A88" s="7" t="s">
        <v>19</v>
      </c>
      <c r="B88" s="7" t="s">
        <v>2</v>
      </c>
      <c r="C88" s="7" t="s">
        <v>37</v>
      </c>
      <c r="D88" s="7" t="s">
        <v>28</v>
      </c>
      <c r="E88" s="7" t="s">
        <v>29</v>
      </c>
      <c r="F88" s="7" t="s">
        <v>30</v>
      </c>
      <c r="G88" s="7" t="s">
        <v>31</v>
      </c>
      <c r="H88" s="34" t="s">
        <v>24</v>
      </c>
      <c r="I88" s="34" t="s">
        <v>25</v>
      </c>
      <c r="J88" s="35" t="s">
        <v>17</v>
      </c>
      <c r="K88" s="35" t="s">
        <v>4</v>
      </c>
      <c r="L88" s="35" t="s">
        <v>17</v>
      </c>
      <c r="M88" s="36" t="s">
        <v>4</v>
      </c>
      <c r="N88" s="35" t="s">
        <v>17</v>
      </c>
      <c r="O88" s="36" t="s">
        <v>13</v>
      </c>
    </row>
    <row r="89" spans="1:23" x14ac:dyDescent="0.25">
      <c r="A89" s="9">
        <v>2</v>
      </c>
      <c r="B89" s="9">
        <v>9.9999999999999998E-13</v>
      </c>
      <c r="C89" s="9">
        <v>10000</v>
      </c>
      <c r="D89" s="9">
        <v>1200</v>
      </c>
      <c r="E89" s="8">
        <v>2</v>
      </c>
      <c r="F89" s="8">
        <v>0</v>
      </c>
      <c r="G89" s="8">
        <v>0</v>
      </c>
      <c r="H89" s="38">
        <f>2*A$75/C$75</f>
        <v>4.0000000000000002E-4</v>
      </c>
      <c r="I89" s="38">
        <f>C$75/(2*D89)</f>
        <v>4.166666666666667</v>
      </c>
      <c r="J89" s="2">
        <f>20*LOG(I89)</f>
        <v>12.39577516576788</v>
      </c>
      <c r="K89" s="38">
        <f>H89/(2*PI()*B$75)</f>
        <v>63661977.236758143</v>
      </c>
      <c r="L89" s="1"/>
      <c r="M89" s="38"/>
      <c r="N89" s="2">
        <f>L89-J89</f>
        <v>-12.39577516576788</v>
      </c>
      <c r="O89" s="1" t="e">
        <f>100*(K89-M89)/M89</f>
        <v>#DIV/0!</v>
      </c>
    </row>
    <row r="90" spans="1:23" x14ac:dyDescent="0.25">
      <c r="B90" s="10"/>
      <c r="C90" s="10"/>
      <c r="D90" s="9">
        <v>2450</v>
      </c>
      <c r="E90" s="8">
        <v>0</v>
      </c>
      <c r="F90" s="8">
        <v>2</v>
      </c>
      <c r="G90" s="8">
        <v>0</v>
      </c>
      <c r="H90" s="38">
        <f t="shared" ref="H90:H91" si="13">2*A$75/C$75</f>
        <v>4.0000000000000002E-4</v>
      </c>
      <c r="I90" s="38">
        <f>C$75/(2*D90)</f>
        <v>2.0408163265306123</v>
      </c>
      <c r="J90" s="2">
        <f>20*LOG(I90)</f>
        <v>6.1960783994297275</v>
      </c>
      <c r="K90" s="38">
        <f>H90/(2*PI()*B$75)</f>
        <v>63661977.236758143</v>
      </c>
      <c r="L90" s="1"/>
      <c r="M90" s="38"/>
      <c r="N90" s="2">
        <f t="shared" ref="N90:N91" si="14">L90-J90</f>
        <v>-6.1960783994297275</v>
      </c>
      <c r="O90" s="1" t="e">
        <f t="shared" ref="O90:O91" si="15">100*(K90-M90)/M90</f>
        <v>#DIV/0!</v>
      </c>
    </row>
    <row r="91" spans="1:23" x14ac:dyDescent="0.25">
      <c r="B91" s="10"/>
      <c r="C91" s="10"/>
      <c r="D91" s="9">
        <v>4900</v>
      </c>
      <c r="E91" s="8">
        <v>0</v>
      </c>
      <c r="F91" s="8">
        <v>0</v>
      </c>
      <c r="G91" s="8">
        <v>2</v>
      </c>
      <c r="H91" s="38">
        <f t="shared" si="13"/>
        <v>4.0000000000000002E-4</v>
      </c>
      <c r="I91" s="38">
        <f>C$75/(2*D91)</f>
        <v>1.0204081632653061</v>
      </c>
      <c r="J91" s="2">
        <f>20*LOG(I91)</f>
        <v>0.17547848615010303</v>
      </c>
      <c r="K91" s="38">
        <f>H91/(2*PI()*B$75)</f>
        <v>63661977.236758143</v>
      </c>
      <c r="L91" s="1"/>
      <c r="M91" s="38"/>
      <c r="N91" s="2">
        <f t="shared" si="14"/>
        <v>-0.17547848615010303</v>
      </c>
      <c r="O91" s="1" t="e">
        <f t="shared" si="15"/>
        <v>#DIV/0!</v>
      </c>
    </row>
    <row r="92" spans="1:23" x14ac:dyDescent="0.2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U92" s="10"/>
      <c r="V92" s="10"/>
    </row>
    <row r="93" spans="1:23" s="13" customFormat="1" ht="18" x14ac:dyDescent="0.35">
      <c r="A93" s="14" t="s">
        <v>8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8" x14ac:dyDescent="0.35">
      <c r="B94" s="17" t="s">
        <v>14</v>
      </c>
      <c r="C94" s="17" t="s">
        <v>9</v>
      </c>
      <c r="D94" s="17" t="s">
        <v>10</v>
      </c>
      <c r="E94" s="17" t="s">
        <v>11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4.4" x14ac:dyDescent="0.3">
      <c r="B95" s="18" t="s">
        <v>17</v>
      </c>
      <c r="C95" s="18" t="s">
        <v>12</v>
      </c>
      <c r="D95" s="18" t="s">
        <v>12</v>
      </c>
      <c r="E95" s="18" t="s">
        <v>13</v>
      </c>
    </row>
    <row r="96" spans="1:23" x14ac:dyDescent="0.25">
      <c r="A96" s="20" t="s">
        <v>15</v>
      </c>
      <c r="B96" s="1"/>
      <c r="C96" s="19"/>
      <c r="D96" s="19"/>
      <c r="E96" s="19"/>
    </row>
    <row r="97" spans="1:5" x14ac:dyDescent="0.25">
      <c r="A97" s="20" t="s">
        <v>16</v>
      </c>
      <c r="B97" s="1"/>
      <c r="C97" s="19"/>
      <c r="D97" s="19"/>
      <c r="E97" s="19"/>
    </row>
  </sheetData>
  <mergeCells count="4">
    <mergeCell ref="E29:F29"/>
    <mergeCell ref="A29:D29"/>
    <mergeCell ref="A30:D30"/>
    <mergeCell ref="G29:H29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5121" r:id="rId4">
          <objectPr defaultSize="0" r:id="rId5">
            <anchor moveWithCells="1">
              <from>
                <xdr:col>20</xdr:col>
                <xdr:colOff>411480</xdr:colOff>
                <xdr:row>4</xdr:row>
                <xdr:rowOff>99060</xdr:rowOff>
              </from>
              <to>
                <xdr:col>26</xdr:col>
                <xdr:colOff>464820</xdr:colOff>
                <xdr:row>21</xdr:row>
                <xdr:rowOff>0</xdr:rowOff>
              </to>
            </anchor>
          </objectPr>
        </oleObject>
      </mc:Choice>
      <mc:Fallback>
        <oleObject progId="Visio.Drawing.11" shapeId="512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Campanu Iulian</dc:creator>
  <cp:lastModifiedBy>Onet Raul</cp:lastModifiedBy>
  <dcterms:created xsi:type="dcterms:W3CDTF">1996-10-14T23:33:28Z</dcterms:created>
  <dcterms:modified xsi:type="dcterms:W3CDTF">2021-03-29T14:07:29Z</dcterms:modified>
</cp:coreProperties>
</file>