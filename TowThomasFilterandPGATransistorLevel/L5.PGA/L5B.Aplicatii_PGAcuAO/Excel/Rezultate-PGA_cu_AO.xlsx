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aching_Work\Materii\Cursuri\CAIF_2021\lab_work\L5B.Aplicatii_PGAcuAO\Excel\"/>
    </mc:Choice>
  </mc:AlternateContent>
  <xr:revisionPtr revIDLastSave="0" documentId="13_ncr:1_{BC085596-AD13-4146-8266-02F7F7DEC293}" xr6:coauthVersionLast="45" xr6:coauthVersionMax="45" xr10:uidLastSave="{00000000-0000-0000-0000-000000000000}"/>
  <bookViews>
    <workbookView xWindow="735" yWindow="-12450" windowWidth="20145" windowHeight="12225" activeTab="2" xr2:uid="{00000000-000D-0000-FFFF-FFFF00000000}"/>
  </bookViews>
  <sheets>
    <sheet name="EtajeAmplificare" sheetId="5" r:id="rId1"/>
    <sheet name="PGA_EtajeIdentice_Mux" sheetId="4" r:id="rId2"/>
    <sheet name="PGA_ReglajBrutFin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4" l="1"/>
  <c r="F10" i="4"/>
  <c r="D25" i="5" l="1"/>
  <c r="D17" i="5"/>
  <c r="D8" i="5"/>
  <c r="F8" i="6" l="1"/>
  <c r="F12" i="6"/>
  <c r="C12" i="6"/>
  <c r="F11" i="6"/>
  <c r="C11" i="6"/>
  <c r="F10" i="6"/>
  <c r="C10" i="6"/>
  <c r="F9" i="6"/>
  <c r="C9" i="6"/>
  <c r="C8" i="6"/>
  <c r="N25" i="5"/>
  <c r="N24" i="5"/>
  <c r="N23" i="5"/>
  <c r="N22" i="5"/>
  <c r="L17" i="5"/>
  <c r="N17" i="5" s="1"/>
  <c r="L16" i="5"/>
  <c r="N16" i="5" s="1"/>
  <c r="R16" i="5" s="1"/>
  <c r="L15" i="5"/>
  <c r="M15" i="5" s="1"/>
  <c r="Q15" i="5" s="1"/>
  <c r="L14" i="5"/>
  <c r="M16" i="5" l="1"/>
  <c r="Q16" i="5" s="1"/>
  <c r="N14" i="5"/>
  <c r="R14" i="5" s="1"/>
  <c r="N15" i="5"/>
  <c r="R15" i="5" s="1"/>
  <c r="R17" i="5"/>
  <c r="M14" i="5"/>
  <c r="Q14" i="5" s="1"/>
  <c r="M17" i="5"/>
  <c r="Q17" i="5" s="1"/>
  <c r="F31" i="6" l="1"/>
  <c r="C31" i="6"/>
  <c r="F30" i="6"/>
  <c r="C30" i="6"/>
  <c r="F29" i="6"/>
  <c r="C29" i="6"/>
  <c r="F28" i="6"/>
  <c r="C28" i="6"/>
  <c r="F27" i="6"/>
  <c r="C27" i="6"/>
  <c r="F26" i="6"/>
  <c r="C26" i="6"/>
  <c r="F25" i="6"/>
  <c r="C25" i="6"/>
  <c r="F24" i="6"/>
  <c r="C24" i="6"/>
  <c r="F23" i="6"/>
  <c r="C23" i="6"/>
  <c r="F22" i="6"/>
  <c r="C22" i="6"/>
  <c r="F21" i="6"/>
  <c r="C21" i="6"/>
  <c r="F20" i="6"/>
  <c r="C20" i="6"/>
  <c r="F19" i="6"/>
  <c r="C19" i="6"/>
  <c r="F18" i="6"/>
  <c r="C18" i="6"/>
  <c r="F17" i="6"/>
  <c r="C17" i="6"/>
  <c r="F16" i="6"/>
  <c r="C16" i="6"/>
  <c r="F15" i="6"/>
  <c r="C15" i="6"/>
  <c r="F14" i="6"/>
  <c r="C14" i="6"/>
  <c r="F13" i="6"/>
  <c r="C13" i="6"/>
  <c r="F8" i="4"/>
  <c r="L25" i="5" l="1"/>
  <c r="R25" i="5" s="1"/>
  <c r="L24" i="5"/>
  <c r="M24" i="5" s="1"/>
  <c r="Q24" i="5" s="1"/>
  <c r="L23" i="5"/>
  <c r="R23" i="5" s="1"/>
  <c r="L22" i="5"/>
  <c r="R22" i="5" s="1"/>
  <c r="L8" i="5"/>
  <c r="M8" i="5" s="1"/>
  <c r="Q8" i="5" s="1"/>
  <c r="L7" i="5"/>
  <c r="N7" i="5" s="1"/>
  <c r="R7" i="5" s="1"/>
  <c r="L6" i="5"/>
  <c r="N6" i="5" s="1"/>
  <c r="R6" i="5" s="1"/>
  <c r="L5" i="5"/>
  <c r="F32" i="4"/>
  <c r="C32" i="4"/>
  <c r="F31" i="4"/>
  <c r="C31" i="4"/>
  <c r="F30" i="4"/>
  <c r="C30" i="4"/>
  <c r="F29" i="4"/>
  <c r="C29" i="4"/>
  <c r="F28" i="4"/>
  <c r="C28" i="4"/>
  <c r="F27" i="4"/>
  <c r="C27" i="4"/>
  <c r="F26" i="4"/>
  <c r="C26" i="4"/>
  <c r="F25" i="4"/>
  <c r="C25" i="4"/>
  <c r="F24" i="4"/>
  <c r="C24" i="4"/>
  <c r="F23" i="4"/>
  <c r="C23" i="4"/>
  <c r="F22" i="4"/>
  <c r="C22" i="4"/>
  <c r="F21" i="4"/>
  <c r="C21" i="4"/>
  <c r="F20" i="4"/>
  <c r="C20" i="4"/>
  <c r="F19" i="4"/>
  <c r="C19" i="4"/>
  <c r="F18" i="4"/>
  <c r="C18" i="4"/>
  <c r="F17" i="4"/>
  <c r="C17" i="4"/>
  <c r="F16" i="4"/>
  <c r="C16" i="4"/>
  <c r="F15" i="4"/>
  <c r="C15" i="4"/>
  <c r="F14" i="4"/>
  <c r="C14" i="4"/>
  <c r="F13" i="4"/>
  <c r="C13" i="4"/>
  <c r="F12" i="4"/>
  <c r="C12" i="4"/>
  <c r="F11" i="4"/>
  <c r="C11" i="4"/>
  <c r="F9" i="4"/>
  <c r="C9" i="4"/>
  <c r="C8" i="4"/>
  <c r="M6" i="5" l="1"/>
  <c r="Q6" i="5" s="1"/>
  <c r="M5" i="5"/>
  <c r="Q5" i="5" s="1"/>
  <c r="N5" i="5"/>
  <c r="R5" i="5" s="1"/>
  <c r="M25" i="5"/>
  <c r="Q25" i="5" s="1"/>
  <c r="M23" i="5"/>
  <c r="Q23" i="5" s="1"/>
  <c r="R24" i="5"/>
  <c r="N8" i="5"/>
  <c r="R8" i="5" s="1"/>
  <c r="M7" i="5"/>
  <c r="Q7" i="5" s="1"/>
  <c r="M22" i="5"/>
  <c r="Q22" i="5" s="1"/>
</calcChain>
</file>

<file path=xl/sharedStrings.xml><?xml version="1.0" encoding="utf-8"?>
<sst xmlns="http://schemas.openxmlformats.org/spreadsheetml/2006/main" count="118" uniqueCount="50">
  <si>
    <t>Castig  teoretic</t>
  </si>
  <si>
    <t>Castig masurat</t>
  </si>
  <si>
    <t>Diferente</t>
  </si>
  <si>
    <t>(dB)</t>
  </si>
  <si>
    <t>(V/V)</t>
  </si>
  <si>
    <t>GBW_AO [Hz]</t>
  </si>
  <si>
    <t>Switch in calea de semnal - conexiune paralel</t>
  </si>
  <si>
    <t>Estimat</t>
  </si>
  <si>
    <t>Masurat</t>
  </si>
  <si>
    <t>Erori</t>
  </si>
  <si>
    <t xml:space="preserve">R1 </t>
  </si>
  <si>
    <t>R2</t>
  </si>
  <si>
    <t>R3</t>
  </si>
  <si>
    <t>R4</t>
  </si>
  <si>
    <t>R5</t>
  </si>
  <si>
    <t>s1 [V]</t>
  </si>
  <si>
    <t>s2 [V]</t>
  </si>
  <si>
    <t>s3 [V]</t>
  </si>
  <si>
    <t>s4 [V]</t>
  </si>
  <si>
    <t>|Av| [linear]</t>
  </si>
  <si>
    <t>|Av| [dB]</t>
  </si>
  <si>
    <t>BW [Hz]</t>
  </si>
  <si>
    <t>Av [dB]</t>
  </si>
  <si>
    <t>BW [%]</t>
  </si>
  <si>
    <t>Switch in calea de semnal - conexiune serie</t>
  </si>
  <si>
    <t>Switch in afara caii de semnal</t>
  </si>
  <si>
    <t>CL [pF]</t>
  </si>
  <si>
    <t>Rtotal</t>
  </si>
  <si>
    <t>tb-PGA_Paralel.asc</t>
  </si>
  <si>
    <t>tb-PGA_Serie.asc</t>
  </si>
  <si>
    <t>tb-PGA_comutator_in_afara_caii_de_semnal.asc</t>
  </si>
  <si>
    <t>Determinarea castigurilor si caracteristica de frecventa a PGA_ului</t>
  </si>
  <si>
    <t>Banda</t>
  </si>
  <si>
    <t>[Hz]</t>
  </si>
  <si>
    <t>Estimari</t>
  </si>
  <si>
    <t>Marimi Masurate</t>
  </si>
  <si>
    <t>Diferenta Masurat-Calculat</t>
  </si>
  <si>
    <t>Parametri de semnal mare</t>
  </si>
  <si>
    <t>Vin_ampl_max</t>
  </si>
  <si>
    <t>Vout_ampl_max</t>
  </si>
  <si>
    <t>THD</t>
  </si>
  <si>
    <t>[V]</t>
  </si>
  <si>
    <t>[%]</t>
  </si>
  <si>
    <t>Castig</t>
  </si>
  <si>
    <t>minim</t>
  </si>
  <si>
    <t>maxim</t>
  </si>
  <si>
    <t>[dB]</t>
  </si>
  <si>
    <t>tb_PGA_Etaje_identice+mux.asc</t>
  </si>
  <si>
    <t>tb_PGA_ReglajBrutFin.asc</t>
  </si>
  <si>
    <t xml:space="preserve">Castig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</si>
</sst>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FC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64">
    <xf numFmtId="0" fontId="0" fillId="0" borderId="0" xfId="0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3" borderId="4" xfId="1" applyBorder="1" applyAlignment="1">
      <alignment horizontal="center"/>
    </xf>
    <xf numFmtId="2" fontId="1" fillId="3" borderId="4" xfId="1" applyNumberFormat="1" applyBorder="1" applyAlignment="1">
      <alignment horizontal="center"/>
    </xf>
    <xf numFmtId="0" fontId="1" fillId="4" borderId="4" xfId="2" applyBorder="1" applyAlignment="1">
      <alignment horizontal="center"/>
    </xf>
    <xf numFmtId="2" fontId="1" fillId="4" borderId="4" xfId="2" applyNumberFormat="1" applyBorder="1" applyAlignment="1">
      <alignment horizontal="center"/>
    </xf>
    <xf numFmtId="0" fontId="1" fillId="5" borderId="4" xfId="3" applyBorder="1" applyAlignment="1">
      <alignment horizontal="center"/>
    </xf>
    <xf numFmtId="2" fontId="1" fillId="5" borderId="4" xfId="3" applyNumberFormat="1" applyBorder="1" applyAlignment="1">
      <alignment horizontal="center"/>
    </xf>
    <xf numFmtId="0" fontId="1" fillId="6" borderId="4" xfId="4" applyBorder="1" applyAlignment="1">
      <alignment horizontal="center"/>
    </xf>
    <xf numFmtId="2" fontId="1" fillId="6" borderId="4" xfId="4" applyNumberFormat="1" applyBorder="1" applyAlignment="1">
      <alignment horizontal="center"/>
    </xf>
    <xf numFmtId="0" fontId="4" fillId="7" borderId="0" xfId="0" applyFont="1" applyFill="1"/>
    <xf numFmtId="0" fontId="0" fillId="7" borderId="0" xfId="0" applyFill="1"/>
    <xf numFmtId="0" fontId="2" fillId="0" borderId="0" xfId="0" applyFont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1" fontId="2" fillId="9" borderId="4" xfId="0" applyNumberFormat="1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1" fontId="0" fillId="0" borderId="4" xfId="0" applyNumberFormat="1" applyBorder="1" applyAlignment="1">
      <alignment horizontal="center" vertical="center" wrapText="1"/>
    </xf>
    <xf numFmtId="11" fontId="0" fillId="0" borderId="8" xfId="0" applyNumberFormat="1" applyBorder="1" applyAlignment="1">
      <alignment horizontal="center" vertical="center" wrapText="1"/>
    </xf>
    <xf numFmtId="11" fontId="0" fillId="8" borderId="4" xfId="0" applyNumberFormat="1" applyFill="1" applyBorder="1" applyAlignment="1">
      <alignment horizontal="center" vertical="center" wrapText="1"/>
    </xf>
    <xf numFmtId="11" fontId="0" fillId="9" borderId="4" xfId="0" applyNumberFormat="1" applyFill="1" applyBorder="1" applyAlignment="1">
      <alignment horizontal="center" vertical="center" wrapText="1"/>
    </xf>
    <xf numFmtId="11" fontId="0" fillId="10" borderId="4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7" borderId="0" xfId="0" applyFont="1" applyFill="1"/>
    <xf numFmtId="0" fontId="7" fillId="7" borderId="0" xfId="0" applyFont="1" applyFill="1"/>
    <xf numFmtId="0" fontId="10" fillId="12" borderId="14" xfId="0" applyFont="1" applyFill="1" applyBorder="1" applyAlignment="1">
      <alignment horizontal="centerContinuous"/>
    </xf>
    <xf numFmtId="11" fontId="2" fillId="13" borderId="18" xfId="0" applyNumberFormat="1" applyFont="1" applyFill="1" applyBorder="1" applyAlignment="1">
      <alignment horizontal="center"/>
    </xf>
    <xf numFmtId="11" fontId="2" fillId="13" borderId="14" xfId="0" applyNumberFormat="1" applyFont="1" applyFill="1" applyBorder="1" applyAlignment="1">
      <alignment horizontal="center"/>
    </xf>
    <xf numFmtId="11" fontId="0" fillId="13" borderId="4" xfId="0" applyNumberFormat="1" applyFill="1" applyBorder="1" applyAlignment="1">
      <alignment horizontal="center"/>
    </xf>
    <xf numFmtId="0" fontId="3" fillId="0" borderId="0" xfId="0" applyFont="1"/>
    <xf numFmtId="0" fontId="0" fillId="0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1" fontId="0" fillId="0" borderId="0" xfId="0" applyNumberFormat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49" fontId="10" fillId="11" borderId="12" xfId="0" applyNumberFormat="1" applyFont="1" applyFill="1" applyBorder="1" applyAlignment="1">
      <alignment horizontal="center"/>
    </xf>
    <xf numFmtId="49" fontId="10" fillId="11" borderId="0" xfId="0" applyNumberFormat="1" applyFont="1" applyFill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5">
    <cellStyle name="20% - Accent3" xfId="1" builtinId="38"/>
    <cellStyle name="20% - Accent4" xfId="2" builtinId="42"/>
    <cellStyle name="20% - Accent5" xfId="3" builtinId="46"/>
    <cellStyle name="20% - Accent6" xfId="4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5"/>
  <sheetViews>
    <sheetView workbookViewId="0">
      <selection activeCell="B20" sqref="B20"/>
    </sheetView>
  </sheetViews>
  <sheetFormatPr defaultRowHeight="13.2" x14ac:dyDescent="0.25"/>
  <cols>
    <col min="13" max="13" width="13.5546875" customWidth="1"/>
    <col min="15" max="15" width="11.77734375" customWidth="1"/>
    <col min="17" max="17" width="10.88671875" customWidth="1"/>
    <col min="18" max="18" width="10.44140625" customWidth="1"/>
  </cols>
  <sheetData>
    <row r="2" spans="1:18" ht="18" x14ac:dyDescent="0.35">
      <c r="B2" s="11" t="s">
        <v>6</v>
      </c>
      <c r="C2" s="12"/>
      <c r="D2" s="12"/>
      <c r="E2" s="12"/>
      <c r="F2" s="12"/>
      <c r="G2" s="12"/>
      <c r="H2" s="12"/>
    </row>
    <row r="3" spans="1:18" s="17" customFormat="1" ht="18" x14ac:dyDescent="0.3">
      <c r="A3" s="13"/>
      <c r="B3" s="34" t="s">
        <v>28</v>
      </c>
      <c r="C3" s="35"/>
      <c r="D3" s="35"/>
      <c r="E3" s="13"/>
      <c r="F3" s="13"/>
      <c r="G3" s="13"/>
      <c r="H3" s="13"/>
      <c r="I3" s="13"/>
      <c r="J3" s="13"/>
      <c r="K3" s="13"/>
      <c r="L3" s="14" t="s">
        <v>7</v>
      </c>
      <c r="M3" s="14"/>
      <c r="N3" s="14"/>
      <c r="O3" s="15" t="s">
        <v>8</v>
      </c>
      <c r="P3" s="15"/>
      <c r="Q3" s="16" t="s">
        <v>9</v>
      </c>
      <c r="R3" s="16"/>
    </row>
    <row r="4" spans="1:18" s="17" customFormat="1" ht="28.8" x14ac:dyDescent="0.3">
      <c r="A4" s="18" t="s">
        <v>26</v>
      </c>
      <c r="B4" s="18" t="s">
        <v>5</v>
      </c>
      <c r="C4" s="18" t="s">
        <v>10</v>
      </c>
      <c r="D4" s="18" t="s">
        <v>11</v>
      </c>
      <c r="E4" s="18" t="s">
        <v>12</v>
      </c>
      <c r="F4" s="18" t="s">
        <v>13</v>
      </c>
      <c r="G4" s="18" t="s">
        <v>14</v>
      </c>
      <c r="H4" s="18" t="s">
        <v>15</v>
      </c>
      <c r="I4" s="18" t="s">
        <v>16</v>
      </c>
      <c r="J4" s="18" t="s">
        <v>17</v>
      </c>
      <c r="K4" s="18" t="s">
        <v>18</v>
      </c>
      <c r="L4" s="19" t="s">
        <v>19</v>
      </c>
      <c r="M4" s="19" t="s">
        <v>20</v>
      </c>
      <c r="N4" s="19" t="s">
        <v>21</v>
      </c>
      <c r="O4" s="20" t="s">
        <v>22</v>
      </c>
      <c r="P4" s="21" t="s">
        <v>21</v>
      </c>
      <c r="Q4" s="22" t="s">
        <v>22</v>
      </c>
      <c r="R4" s="22" t="s">
        <v>23</v>
      </c>
    </row>
    <row r="5" spans="1:18" x14ac:dyDescent="0.25">
      <c r="A5" s="24">
        <v>9.9999999999999994E-12</v>
      </c>
      <c r="B5" s="24">
        <v>100000000</v>
      </c>
      <c r="C5" s="24">
        <v>20000</v>
      </c>
      <c r="D5" s="24">
        <v>20000</v>
      </c>
      <c r="E5" s="24">
        <v>40000</v>
      </c>
      <c r="F5" s="24">
        <v>80000</v>
      </c>
      <c r="G5" s="25">
        <v>160000</v>
      </c>
      <c r="H5" s="23">
        <v>1.8</v>
      </c>
      <c r="I5" s="23">
        <v>0</v>
      </c>
      <c r="J5" s="23">
        <v>0</v>
      </c>
      <c r="K5" s="23">
        <v>0</v>
      </c>
      <c r="L5" s="26">
        <f>D5/C5</f>
        <v>1</v>
      </c>
      <c r="M5" s="26">
        <f>20*LOG(L5)</f>
        <v>0</v>
      </c>
      <c r="N5" s="26">
        <f>B$5/(L5+1)</f>
        <v>50000000</v>
      </c>
      <c r="O5" s="27"/>
      <c r="P5" s="27"/>
      <c r="Q5" s="28">
        <f>O5-M5</f>
        <v>0</v>
      </c>
      <c r="R5" s="28">
        <f>100*(P5-N5)/N5</f>
        <v>-100</v>
      </c>
    </row>
    <row r="6" spans="1:18" x14ac:dyDescent="0.25">
      <c r="A6" s="29"/>
      <c r="B6" s="53"/>
      <c r="C6" s="29"/>
      <c r="D6" s="29"/>
      <c r="E6" s="29"/>
      <c r="F6" s="29"/>
      <c r="G6" s="29"/>
      <c r="H6" s="23">
        <v>0</v>
      </c>
      <c r="I6" s="23">
        <v>1.8</v>
      </c>
      <c r="J6" s="23">
        <v>0</v>
      </c>
      <c r="K6" s="23">
        <v>0</v>
      </c>
      <c r="L6" s="26">
        <f>E5/C5</f>
        <v>2</v>
      </c>
      <c r="M6" s="26">
        <f>20*LOG(L6)</f>
        <v>6.0205999132796242</v>
      </c>
      <c r="N6" s="26">
        <f>B$5/(L6+1)</f>
        <v>33333333.333333332</v>
      </c>
      <c r="O6" s="30"/>
      <c r="P6" s="27"/>
      <c r="Q6" s="28">
        <f>O6-M6</f>
        <v>-6.0205999132796242</v>
      </c>
      <c r="R6" s="28">
        <f>100*(P6-N6)/N6</f>
        <v>-100</v>
      </c>
    </row>
    <row r="7" spans="1:18" ht="14.4" x14ac:dyDescent="0.25">
      <c r="A7" s="29"/>
      <c r="B7" s="29"/>
      <c r="C7" s="29"/>
      <c r="D7" s="31" t="s">
        <v>27</v>
      </c>
      <c r="E7" s="32"/>
      <c r="F7" s="29"/>
      <c r="G7" s="29"/>
      <c r="H7" s="23">
        <v>0</v>
      </c>
      <c r="I7" s="23">
        <v>0</v>
      </c>
      <c r="J7" s="23">
        <v>1.8</v>
      </c>
      <c r="K7" s="23">
        <v>0</v>
      </c>
      <c r="L7" s="26">
        <f>F5/C5</f>
        <v>4</v>
      </c>
      <c r="M7" s="26">
        <f>20*LOG(L7)</f>
        <v>12.041199826559248</v>
      </c>
      <c r="N7" s="26">
        <f>B$5/(L7+1)</f>
        <v>20000000</v>
      </c>
      <c r="O7" s="30"/>
      <c r="P7" s="27"/>
      <c r="Q7" s="28">
        <f>O7-M7</f>
        <v>-12.041199826559248</v>
      </c>
      <c r="R7" s="28">
        <f>100*(P7-N7)/N7</f>
        <v>-100</v>
      </c>
    </row>
    <row r="8" spans="1:18" x14ac:dyDescent="0.25">
      <c r="A8" s="29"/>
      <c r="B8" s="29"/>
      <c r="C8" s="29"/>
      <c r="D8" s="24">
        <f>SUM(C5:G5)</f>
        <v>320000</v>
      </c>
      <c r="E8" s="33"/>
      <c r="F8" s="29"/>
      <c r="G8" s="29"/>
      <c r="H8" s="23">
        <v>0</v>
      </c>
      <c r="I8" s="23">
        <v>0</v>
      </c>
      <c r="J8" s="23">
        <v>0</v>
      </c>
      <c r="K8" s="23">
        <v>1.8</v>
      </c>
      <c r="L8" s="26">
        <f>G5/C5</f>
        <v>8</v>
      </c>
      <c r="M8" s="26">
        <f>20*LOG(L8)</f>
        <v>18.061799739838872</v>
      </c>
      <c r="N8" s="26">
        <f>B$5/(L8+1)</f>
        <v>11111111.111111112</v>
      </c>
      <c r="O8" s="30"/>
      <c r="P8" s="27"/>
      <c r="Q8" s="28">
        <f>O8-M8</f>
        <v>-18.061799739838872</v>
      </c>
      <c r="R8" s="28">
        <f>100*(P8-N8)/N8</f>
        <v>-100</v>
      </c>
    </row>
    <row r="9" spans="1:18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</row>
    <row r="10" spans="1:18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8" x14ac:dyDescent="0.35">
      <c r="B11" s="11" t="s">
        <v>24</v>
      </c>
      <c r="C11" s="12"/>
      <c r="D11" s="12"/>
      <c r="E11" s="12"/>
      <c r="F11" s="12"/>
      <c r="G11" s="12"/>
      <c r="H11" s="12"/>
    </row>
    <row r="12" spans="1:18" ht="18" x14ac:dyDescent="0.25">
      <c r="B12" s="34" t="s">
        <v>29</v>
      </c>
      <c r="C12" s="35"/>
      <c r="D12" s="35"/>
    </row>
    <row r="13" spans="1:18" s="17" customFormat="1" ht="28.8" x14ac:dyDescent="0.3">
      <c r="A13" s="18" t="s">
        <v>26</v>
      </c>
      <c r="B13" s="18" t="s">
        <v>5</v>
      </c>
      <c r="C13" s="18" t="s">
        <v>10</v>
      </c>
      <c r="D13" s="18" t="s">
        <v>11</v>
      </c>
      <c r="E13" s="18" t="s">
        <v>12</v>
      </c>
      <c r="F13" s="18" t="s">
        <v>13</v>
      </c>
      <c r="G13" s="18" t="s">
        <v>14</v>
      </c>
      <c r="H13" s="18" t="s">
        <v>15</v>
      </c>
      <c r="I13" s="18" t="s">
        <v>16</v>
      </c>
      <c r="J13" s="18" t="s">
        <v>17</v>
      </c>
      <c r="K13" s="18" t="s">
        <v>18</v>
      </c>
      <c r="L13" s="19" t="s">
        <v>19</v>
      </c>
      <c r="M13" s="19" t="s">
        <v>20</v>
      </c>
      <c r="N13" s="19" t="s">
        <v>21</v>
      </c>
      <c r="O13" s="20" t="s">
        <v>22</v>
      </c>
      <c r="P13" s="21" t="s">
        <v>21</v>
      </c>
      <c r="Q13" s="22" t="s">
        <v>22</v>
      </c>
      <c r="R13" s="22" t="s">
        <v>23</v>
      </c>
    </row>
    <row r="14" spans="1:18" x14ac:dyDescent="0.25">
      <c r="A14" s="24">
        <v>9.9999999999999994E-12</v>
      </c>
      <c r="B14" s="24">
        <v>100000000</v>
      </c>
      <c r="C14" s="24">
        <v>20000</v>
      </c>
      <c r="D14" s="24">
        <v>20000</v>
      </c>
      <c r="E14" s="24">
        <v>20000</v>
      </c>
      <c r="F14" s="24">
        <v>40000</v>
      </c>
      <c r="G14" s="25">
        <v>80000</v>
      </c>
      <c r="H14" s="23">
        <v>1.8</v>
      </c>
      <c r="I14" s="23">
        <v>0</v>
      </c>
      <c r="J14" s="23">
        <v>0</v>
      </c>
      <c r="K14" s="23">
        <v>0</v>
      </c>
      <c r="L14" s="26">
        <f>D14/C14</f>
        <v>1</v>
      </c>
      <c r="M14" s="26">
        <f>20*LOG(L14)</f>
        <v>0</v>
      </c>
      <c r="N14" s="26">
        <f>B$14/(L14+1)</f>
        <v>50000000</v>
      </c>
      <c r="O14" s="27"/>
      <c r="P14" s="27"/>
      <c r="Q14" s="28">
        <f>O14-M14</f>
        <v>0</v>
      </c>
      <c r="R14" s="28">
        <f>100*(P14-N14)/N14</f>
        <v>-100</v>
      </c>
    </row>
    <row r="15" spans="1:18" x14ac:dyDescent="0.25">
      <c r="A15" s="29"/>
      <c r="B15" s="29"/>
      <c r="C15" s="29"/>
      <c r="D15" s="29"/>
      <c r="E15" s="29"/>
      <c r="F15" s="29"/>
      <c r="G15" s="29"/>
      <c r="H15" s="23">
        <v>0</v>
      </c>
      <c r="I15" s="23">
        <v>1.8</v>
      </c>
      <c r="J15" s="23">
        <v>0</v>
      </c>
      <c r="K15" s="23">
        <v>0</v>
      </c>
      <c r="L15" s="26">
        <f>(E14+D14)/C14</f>
        <v>2</v>
      </c>
      <c r="M15" s="26">
        <f>20*LOG(L15)</f>
        <v>6.0205999132796242</v>
      </c>
      <c r="N15" s="26">
        <f t="shared" ref="N15:N17" si="0">B$14/(L15+1)</f>
        <v>33333333.333333332</v>
      </c>
      <c r="O15" s="30"/>
      <c r="P15" s="27"/>
      <c r="Q15" s="28">
        <f>O15-M15</f>
        <v>-6.0205999132796242</v>
      </c>
      <c r="R15" s="28">
        <f>100*(P15-N15)/N15</f>
        <v>-100</v>
      </c>
    </row>
    <row r="16" spans="1:18" ht="14.4" x14ac:dyDescent="0.25">
      <c r="A16" s="29"/>
      <c r="B16" s="29"/>
      <c r="C16" s="29"/>
      <c r="D16" s="31" t="s">
        <v>27</v>
      </c>
      <c r="E16" s="32"/>
      <c r="F16" s="29"/>
      <c r="G16" s="29"/>
      <c r="H16" s="23">
        <v>0</v>
      </c>
      <c r="I16" s="23">
        <v>0</v>
      </c>
      <c r="J16" s="23">
        <v>1.8</v>
      </c>
      <c r="K16" s="23">
        <v>0</v>
      </c>
      <c r="L16" s="26">
        <f>(F14+E14+D14)/C14</f>
        <v>4</v>
      </c>
      <c r="M16" s="26">
        <f>20*LOG(L16)</f>
        <v>12.041199826559248</v>
      </c>
      <c r="N16" s="26">
        <f t="shared" si="0"/>
        <v>20000000</v>
      </c>
      <c r="O16" s="30"/>
      <c r="P16" s="27"/>
      <c r="Q16" s="28">
        <f>O16-M16</f>
        <v>-12.041199826559248</v>
      </c>
      <c r="R16" s="28">
        <f>100*(P16-N16)/N16</f>
        <v>-100</v>
      </c>
    </row>
    <row r="17" spans="1:18" x14ac:dyDescent="0.25">
      <c r="A17" s="29"/>
      <c r="B17" s="29"/>
      <c r="C17" s="29"/>
      <c r="D17" s="24">
        <f>SUM(C14:G14)</f>
        <v>180000</v>
      </c>
      <c r="E17" s="33"/>
      <c r="F17" s="29"/>
      <c r="G17" s="29"/>
      <c r="H17" s="23">
        <v>0</v>
      </c>
      <c r="I17" s="23">
        <v>0</v>
      </c>
      <c r="J17" s="23">
        <v>0</v>
      </c>
      <c r="K17" s="23">
        <v>1.8</v>
      </c>
      <c r="L17" s="26">
        <f>(G14+F14+E14+D14)/C14</f>
        <v>8</v>
      </c>
      <c r="M17" s="26">
        <f>20*LOG(L17)</f>
        <v>18.061799739838872</v>
      </c>
      <c r="N17" s="26">
        <f t="shared" si="0"/>
        <v>11111111.111111112</v>
      </c>
      <c r="O17" s="30"/>
      <c r="P17" s="27"/>
      <c r="Q17" s="28">
        <f>O17-M17</f>
        <v>-18.061799739838872</v>
      </c>
      <c r="R17" s="28">
        <f>100*(P17-N17)/N17</f>
        <v>-100</v>
      </c>
    </row>
    <row r="19" spans="1:18" ht="18" x14ac:dyDescent="0.35">
      <c r="B19" s="11" t="s">
        <v>25</v>
      </c>
      <c r="C19" s="12"/>
      <c r="D19" s="12"/>
      <c r="E19" s="12"/>
      <c r="F19" s="12"/>
      <c r="G19" s="12"/>
      <c r="H19" s="12"/>
    </row>
    <row r="20" spans="1:18" ht="18" x14ac:dyDescent="0.25">
      <c r="B20" s="34" t="s">
        <v>30</v>
      </c>
      <c r="C20" s="35"/>
      <c r="D20" s="35"/>
      <c r="E20" s="12"/>
      <c r="F20" s="12"/>
      <c r="G20" s="12"/>
    </row>
    <row r="21" spans="1:18" s="17" customFormat="1" ht="28.8" x14ac:dyDescent="0.3">
      <c r="A21" s="18" t="s">
        <v>26</v>
      </c>
      <c r="B21" s="18" t="s">
        <v>5</v>
      </c>
      <c r="C21" s="18" t="s">
        <v>10</v>
      </c>
      <c r="D21" s="18" t="s">
        <v>11</v>
      </c>
      <c r="E21" s="18" t="s">
        <v>12</v>
      </c>
      <c r="F21" s="18" t="s">
        <v>13</v>
      </c>
      <c r="G21" s="18" t="s">
        <v>14</v>
      </c>
      <c r="H21" s="18" t="s">
        <v>15</v>
      </c>
      <c r="I21" s="18" t="s">
        <v>16</v>
      </c>
      <c r="J21" s="18" t="s">
        <v>17</v>
      </c>
      <c r="K21" s="18" t="s">
        <v>18</v>
      </c>
      <c r="L21" s="19" t="s">
        <v>19</v>
      </c>
      <c r="M21" s="19" t="s">
        <v>20</v>
      </c>
      <c r="N21" s="19" t="s">
        <v>21</v>
      </c>
      <c r="O21" s="20" t="s">
        <v>22</v>
      </c>
      <c r="P21" s="21" t="s">
        <v>21</v>
      </c>
      <c r="Q21" s="22" t="s">
        <v>22</v>
      </c>
      <c r="R21" s="22" t="s">
        <v>23</v>
      </c>
    </row>
    <row r="22" spans="1:18" x14ac:dyDescent="0.25">
      <c r="A22" s="24">
        <v>9.9999999999999998E-13</v>
      </c>
      <c r="B22" s="24">
        <v>87000000</v>
      </c>
      <c r="C22" s="24">
        <v>20000</v>
      </c>
      <c r="D22" s="24">
        <v>16000</v>
      </c>
      <c r="E22" s="24">
        <v>24000</v>
      </c>
      <c r="F22" s="24">
        <v>30000</v>
      </c>
      <c r="G22" s="25">
        <v>90000</v>
      </c>
      <c r="H22" s="23">
        <v>1.8</v>
      </c>
      <c r="I22" s="23">
        <v>0</v>
      </c>
      <c r="J22" s="23">
        <v>0</v>
      </c>
      <c r="K22" s="23">
        <v>0</v>
      </c>
      <c r="L22" s="26">
        <f>(D22+E22+F22+G22)/C22</f>
        <v>8</v>
      </c>
      <c r="M22" s="26">
        <f>20*LOG(L22)</f>
        <v>18.061799739838872</v>
      </c>
      <c r="N22" s="26">
        <f>B$22/(L22+1)</f>
        <v>9666666.666666666</v>
      </c>
      <c r="O22" s="27"/>
      <c r="P22" s="27"/>
      <c r="Q22" s="28">
        <f>O22-M22</f>
        <v>-18.061799739838872</v>
      </c>
      <c r="R22" s="28">
        <f>100*(P22-N22)/N22</f>
        <v>-100</v>
      </c>
    </row>
    <row r="23" spans="1:18" x14ac:dyDescent="0.25">
      <c r="A23" s="29"/>
      <c r="B23" s="29"/>
      <c r="C23" s="29"/>
      <c r="D23" s="29"/>
      <c r="E23" s="29"/>
      <c r="F23" s="29"/>
      <c r="G23" s="29"/>
      <c r="H23" s="23">
        <v>0</v>
      </c>
      <c r="I23" s="23">
        <v>1.8</v>
      </c>
      <c r="J23" s="23">
        <v>0</v>
      </c>
      <c r="K23" s="23">
        <v>0</v>
      </c>
      <c r="L23" s="26">
        <f>(G22+F22+E22)/(D22+C22)</f>
        <v>4</v>
      </c>
      <c r="M23" s="26">
        <f>20*LOG(L23)</f>
        <v>12.041199826559248</v>
      </c>
      <c r="N23" s="26">
        <f t="shared" ref="N23:N25" si="1">B$22/(L23+1)</f>
        <v>17400000</v>
      </c>
      <c r="O23" s="30"/>
      <c r="P23" s="27"/>
      <c r="Q23" s="28">
        <f>O23-M23</f>
        <v>-12.041199826559248</v>
      </c>
      <c r="R23" s="28">
        <f>100*(P23-N23)/N23</f>
        <v>-100</v>
      </c>
    </row>
    <row r="24" spans="1:18" ht="14.4" x14ac:dyDescent="0.25">
      <c r="A24" s="29"/>
      <c r="B24" s="29"/>
      <c r="C24" s="29"/>
      <c r="D24" s="31" t="s">
        <v>27</v>
      </c>
      <c r="E24" s="32"/>
      <c r="F24" s="29"/>
      <c r="G24" s="29"/>
      <c r="H24" s="23">
        <v>0</v>
      </c>
      <c r="I24" s="23">
        <v>0</v>
      </c>
      <c r="J24" s="23">
        <v>1.8</v>
      </c>
      <c r="K24" s="23">
        <v>0</v>
      </c>
      <c r="L24" s="26">
        <f>(G22+F22)/(E22+D22+C22)</f>
        <v>2</v>
      </c>
      <c r="M24" s="26">
        <f>20*LOG(L24)</f>
        <v>6.0205999132796242</v>
      </c>
      <c r="N24" s="26">
        <f t="shared" si="1"/>
        <v>29000000</v>
      </c>
      <c r="O24" s="30"/>
      <c r="P24" s="27"/>
      <c r="Q24" s="28">
        <f>O24-M24</f>
        <v>-6.0205999132796242</v>
      </c>
      <c r="R24" s="28">
        <f>100*(P24-N24)/N24</f>
        <v>-100</v>
      </c>
    </row>
    <row r="25" spans="1:18" x14ac:dyDescent="0.25">
      <c r="A25" s="29"/>
      <c r="B25" s="29"/>
      <c r="C25" s="29"/>
      <c r="D25" s="24">
        <f>SUM(C22:G22)</f>
        <v>180000</v>
      </c>
      <c r="E25" s="33"/>
      <c r="F25" s="29"/>
      <c r="G25" s="29"/>
      <c r="H25" s="23">
        <v>0</v>
      </c>
      <c r="I25" s="23">
        <v>0</v>
      </c>
      <c r="J25" s="23">
        <v>0</v>
      </c>
      <c r="K25" s="23">
        <v>1.8</v>
      </c>
      <c r="L25" s="26">
        <f>G22/SUM(C22:F22)</f>
        <v>1</v>
      </c>
      <c r="M25" s="26">
        <f>20*LOG(L25)</f>
        <v>0</v>
      </c>
      <c r="N25" s="26">
        <f t="shared" si="1"/>
        <v>43500000</v>
      </c>
      <c r="O25" s="30"/>
      <c r="P25" s="27"/>
      <c r="Q25" s="28">
        <f>O25-M25</f>
        <v>0</v>
      </c>
      <c r="R25" s="28">
        <f>100*(P25-N25)/N25</f>
        <v>-100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38"/>
  <sheetViews>
    <sheetView topLeftCell="A19" zoomScale="115" zoomScaleNormal="115" workbookViewId="0">
      <selection activeCell="F7" sqref="F7"/>
    </sheetView>
  </sheetViews>
  <sheetFormatPr defaultRowHeight="13.2" x14ac:dyDescent="0.25"/>
  <cols>
    <col min="1" max="1" width="6.33203125" customWidth="1"/>
    <col min="2" max="2" width="16.33203125" customWidth="1"/>
    <col min="3" max="3" width="17.88671875" customWidth="1"/>
    <col min="4" max="5" width="17.109375" customWidth="1"/>
    <col min="6" max="6" width="17" customWidth="1"/>
  </cols>
  <sheetData>
    <row r="2" spans="1:8" s="36" customFormat="1" ht="18" x14ac:dyDescent="0.35">
      <c r="A2" s="37" t="s">
        <v>31</v>
      </c>
    </row>
    <row r="3" spans="1:8" s="38" customFormat="1" ht="14.4" x14ac:dyDescent="0.3">
      <c r="A3" s="39" t="s">
        <v>47</v>
      </c>
      <c r="B3" s="40"/>
      <c r="C3" s="40"/>
      <c r="D3" s="40"/>
      <c r="E3" s="40"/>
      <c r="F3" s="40"/>
    </row>
    <row r="4" spans="1:8" s="38" customFormat="1" ht="42" customHeight="1" x14ac:dyDescent="0.3">
      <c r="A4" s="54" t="s">
        <v>34</v>
      </c>
      <c r="B4" s="55"/>
      <c r="C4" s="56"/>
      <c r="D4" s="54" t="s">
        <v>35</v>
      </c>
      <c r="E4" s="55"/>
      <c r="F4" s="57" t="s">
        <v>36</v>
      </c>
      <c r="G4" s="58"/>
      <c r="H4" s="59"/>
    </row>
    <row r="5" spans="1:8" s="38" customFormat="1" ht="14.4" thickBot="1" x14ac:dyDescent="0.35">
      <c r="A5" s="60"/>
      <c r="B5" s="61"/>
      <c r="C5" s="61"/>
      <c r="D5" s="41"/>
      <c r="E5" s="41"/>
      <c r="F5" s="62"/>
      <c r="G5" s="63"/>
      <c r="H5" s="63"/>
    </row>
    <row r="6" spans="1:8" ht="13.8" thickBot="1" x14ac:dyDescent="0.3">
      <c r="B6" s="46" t="s">
        <v>0</v>
      </c>
      <c r="C6" s="47" t="s">
        <v>0</v>
      </c>
      <c r="D6" s="47" t="s">
        <v>1</v>
      </c>
      <c r="E6" s="50" t="s">
        <v>32</v>
      </c>
      <c r="F6" s="52" t="s">
        <v>2</v>
      </c>
    </row>
    <row r="7" spans="1:8" x14ac:dyDescent="0.25">
      <c r="B7" s="48" t="s">
        <v>3</v>
      </c>
      <c r="C7" s="49" t="s">
        <v>4</v>
      </c>
      <c r="D7" s="49" t="s">
        <v>3</v>
      </c>
      <c r="E7" s="51" t="s">
        <v>33</v>
      </c>
      <c r="F7" s="51" t="s">
        <v>42</v>
      </c>
    </row>
    <row r="8" spans="1:8" x14ac:dyDescent="0.25">
      <c r="B8" s="1">
        <v>0</v>
      </c>
      <c r="C8" s="2">
        <f t="shared" ref="C8:C32" si="0">10^(B8/20)</f>
        <v>1</v>
      </c>
      <c r="D8" s="1"/>
      <c r="E8" s="1"/>
      <c r="F8" s="1" t="e">
        <f>100*(B8-D8)/D8</f>
        <v>#DIV/0!</v>
      </c>
    </row>
    <row r="9" spans="1:8" ht="14.4" x14ac:dyDescent="0.3">
      <c r="B9" s="3">
        <v>1</v>
      </c>
      <c r="C9" s="4">
        <f t="shared" si="0"/>
        <v>1.1220184543019636</v>
      </c>
      <c r="D9" s="3"/>
      <c r="E9" s="3"/>
      <c r="F9" s="3" t="e">
        <f t="shared" ref="F9:F21" si="1">100*(B9-D9)/D9</f>
        <v>#DIV/0!</v>
      </c>
    </row>
    <row r="10" spans="1:8" ht="14.4" x14ac:dyDescent="0.3">
      <c r="B10" s="3">
        <v>2</v>
      </c>
      <c r="C10" s="4">
        <f t="shared" si="0"/>
        <v>1.2589254117941673</v>
      </c>
      <c r="D10" s="3"/>
      <c r="E10" s="3"/>
      <c r="F10" s="3" t="e">
        <f t="shared" si="1"/>
        <v>#DIV/0!</v>
      </c>
    </row>
    <row r="11" spans="1:8" ht="14.4" x14ac:dyDescent="0.3">
      <c r="B11" s="3">
        <v>3</v>
      </c>
      <c r="C11" s="4">
        <f t="shared" si="0"/>
        <v>1.4125375446227544</v>
      </c>
      <c r="D11" s="3"/>
      <c r="E11" s="3"/>
      <c r="F11" s="3" t="e">
        <f t="shared" si="1"/>
        <v>#DIV/0!</v>
      </c>
    </row>
    <row r="12" spans="1:8" ht="14.4" x14ac:dyDescent="0.3">
      <c r="B12" s="3">
        <v>4</v>
      </c>
      <c r="C12" s="4">
        <f t="shared" si="0"/>
        <v>1.5848931924611136</v>
      </c>
      <c r="D12" s="3"/>
      <c r="E12" s="3"/>
      <c r="F12" s="3" t="e">
        <f t="shared" si="1"/>
        <v>#DIV/0!</v>
      </c>
    </row>
    <row r="13" spans="1:8" ht="14.4" x14ac:dyDescent="0.3">
      <c r="B13" s="3">
        <v>5</v>
      </c>
      <c r="C13" s="4">
        <f t="shared" si="0"/>
        <v>1.778279410038923</v>
      </c>
      <c r="D13" s="3"/>
      <c r="E13" s="3"/>
      <c r="F13" s="3" t="e">
        <f t="shared" si="1"/>
        <v>#DIV/0!</v>
      </c>
    </row>
    <row r="14" spans="1:8" ht="14.4" x14ac:dyDescent="0.3">
      <c r="B14" s="3">
        <v>6</v>
      </c>
      <c r="C14" s="4">
        <f t="shared" si="0"/>
        <v>1.9952623149688797</v>
      </c>
      <c r="D14" s="3"/>
      <c r="E14" s="3"/>
      <c r="F14" s="3" t="e">
        <f t="shared" si="1"/>
        <v>#DIV/0!</v>
      </c>
    </row>
    <row r="15" spans="1:8" ht="14.4" x14ac:dyDescent="0.3">
      <c r="B15" s="5">
        <v>7</v>
      </c>
      <c r="C15" s="6">
        <f t="shared" si="0"/>
        <v>2.2387211385683394</v>
      </c>
      <c r="D15" s="5"/>
      <c r="E15" s="5"/>
      <c r="F15" s="5" t="e">
        <f t="shared" si="1"/>
        <v>#DIV/0!</v>
      </c>
    </row>
    <row r="16" spans="1:8" ht="14.4" x14ac:dyDescent="0.3">
      <c r="B16" s="5">
        <v>8</v>
      </c>
      <c r="C16" s="6">
        <f t="shared" si="0"/>
        <v>2.5118864315095806</v>
      </c>
      <c r="D16" s="5"/>
      <c r="E16" s="5"/>
      <c r="F16" s="5" t="e">
        <f t="shared" si="1"/>
        <v>#DIV/0!</v>
      </c>
    </row>
    <row r="17" spans="2:6" ht="14.4" x14ac:dyDescent="0.3">
      <c r="B17" s="5">
        <v>9</v>
      </c>
      <c r="C17" s="6">
        <f t="shared" si="0"/>
        <v>2.8183829312644542</v>
      </c>
      <c r="D17" s="5"/>
      <c r="E17" s="5"/>
      <c r="F17" s="5" t="e">
        <f t="shared" si="1"/>
        <v>#DIV/0!</v>
      </c>
    </row>
    <row r="18" spans="2:6" ht="14.4" x14ac:dyDescent="0.3">
      <c r="B18" s="5">
        <v>10</v>
      </c>
      <c r="C18" s="6">
        <f t="shared" si="0"/>
        <v>3.1622776601683795</v>
      </c>
      <c r="D18" s="5"/>
      <c r="E18" s="5"/>
      <c r="F18" s="5" t="e">
        <f t="shared" si="1"/>
        <v>#DIV/0!</v>
      </c>
    </row>
    <row r="19" spans="2:6" ht="14.4" x14ac:dyDescent="0.3">
      <c r="B19" s="5">
        <v>11</v>
      </c>
      <c r="C19" s="6">
        <f t="shared" si="0"/>
        <v>3.5481338923357555</v>
      </c>
      <c r="D19" s="5"/>
      <c r="E19" s="5"/>
      <c r="F19" s="5" t="e">
        <f t="shared" si="1"/>
        <v>#DIV/0!</v>
      </c>
    </row>
    <row r="20" spans="2:6" ht="14.4" x14ac:dyDescent="0.3">
      <c r="B20" s="5">
        <v>12</v>
      </c>
      <c r="C20" s="6">
        <f t="shared" si="0"/>
        <v>3.9810717055349727</v>
      </c>
      <c r="D20" s="5"/>
      <c r="E20" s="5"/>
      <c r="F20" s="5" t="e">
        <f t="shared" si="1"/>
        <v>#DIV/0!</v>
      </c>
    </row>
    <row r="21" spans="2:6" ht="14.4" x14ac:dyDescent="0.3">
      <c r="B21" s="7">
        <v>13</v>
      </c>
      <c r="C21" s="8">
        <f t="shared" si="0"/>
        <v>4.4668359215096318</v>
      </c>
      <c r="D21" s="7"/>
      <c r="E21" s="7"/>
      <c r="F21" s="7" t="e">
        <f t="shared" si="1"/>
        <v>#DIV/0!</v>
      </c>
    </row>
    <row r="22" spans="2:6" ht="14.4" x14ac:dyDescent="0.3">
      <c r="B22" s="7">
        <v>14</v>
      </c>
      <c r="C22" s="8">
        <f t="shared" si="0"/>
        <v>5.0118723362727229</v>
      </c>
      <c r="D22" s="7"/>
      <c r="E22" s="7"/>
      <c r="F22" s="7" t="e">
        <f>100*(B22-D22)/D22</f>
        <v>#DIV/0!</v>
      </c>
    </row>
    <row r="23" spans="2:6" ht="14.4" x14ac:dyDescent="0.3">
      <c r="B23" s="7">
        <v>15</v>
      </c>
      <c r="C23" s="8">
        <f t="shared" si="0"/>
        <v>5.6234132519034921</v>
      </c>
      <c r="D23" s="7"/>
      <c r="E23" s="7"/>
      <c r="F23" s="7" t="e">
        <f t="shared" ref="F23:F32" si="2">100*(B23-D23)/D23</f>
        <v>#DIV/0!</v>
      </c>
    </row>
    <row r="24" spans="2:6" ht="14.4" x14ac:dyDescent="0.3">
      <c r="B24" s="7">
        <v>16</v>
      </c>
      <c r="C24" s="8">
        <f t="shared" si="0"/>
        <v>6.3095734448019343</v>
      </c>
      <c r="D24" s="7"/>
      <c r="E24" s="7"/>
      <c r="F24" s="7" t="e">
        <f t="shared" si="2"/>
        <v>#DIV/0!</v>
      </c>
    </row>
    <row r="25" spans="2:6" ht="14.4" x14ac:dyDescent="0.3">
      <c r="B25" s="7">
        <v>17</v>
      </c>
      <c r="C25" s="8">
        <f t="shared" si="0"/>
        <v>7.0794578438413795</v>
      </c>
      <c r="D25" s="7"/>
      <c r="E25" s="7"/>
      <c r="F25" s="7" t="e">
        <f t="shared" si="2"/>
        <v>#DIV/0!</v>
      </c>
    </row>
    <row r="26" spans="2:6" ht="14.4" x14ac:dyDescent="0.3">
      <c r="B26" s="7">
        <v>18</v>
      </c>
      <c r="C26" s="8">
        <f t="shared" si="0"/>
        <v>7.9432823472428176</v>
      </c>
      <c r="D26" s="7"/>
      <c r="E26" s="7"/>
      <c r="F26" s="7" t="e">
        <f t="shared" si="2"/>
        <v>#DIV/0!</v>
      </c>
    </row>
    <row r="27" spans="2:6" ht="14.4" x14ac:dyDescent="0.3">
      <c r="B27" s="9">
        <v>19</v>
      </c>
      <c r="C27" s="10">
        <f t="shared" si="0"/>
        <v>8.9125093813374576</v>
      </c>
      <c r="D27" s="9"/>
      <c r="E27" s="9"/>
      <c r="F27" s="9" t="e">
        <f t="shared" si="2"/>
        <v>#DIV/0!</v>
      </c>
    </row>
    <row r="28" spans="2:6" ht="14.4" x14ac:dyDescent="0.3">
      <c r="B28" s="9">
        <v>20</v>
      </c>
      <c r="C28" s="10">
        <f t="shared" si="0"/>
        <v>10</v>
      </c>
      <c r="D28" s="9"/>
      <c r="E28" s="9"/>
      <c r="F28" s="9" t="e">
        <f t="shared" si="2"/>
        <v>#DIV/0!</v>
      </c>
    </row>
    <row r="29" spans="2:6" ht="14.4" x14ac:dyDescent="0.3">
      <c r="B29" s="9">
        <v>21</v>
      </c>
      <c r="C29" s="10">
        <f t="shared" si="0"/>
        <v>11.220184543019636</v>
      </c>
      <c r="D29" s="9"/>
      <c r="E29" s="9"/>
      <c r="F29" s="9" t="e">
        <f t="shared" si="2"/>
        <v>#DIV/0!</v>
      </c>
    </row>
    <row r="30" spans="2:6" ht="14.4" x14ac:dyDescent="0.3">
      <c r="B30" s="9">
        <v>22</v>
      </c>
      <c r="C30" s="10">
        <f t="shared" si="0"/>
        <v>12.58925411794168</v>
      </c>
      <c r="D30" s="9"/>
      <c r="E30" s="9"/>
      <c r="F30" s="9" t="e">
        <f t="shared" si="2"/>
        <v>#DIV/0!</v>
      </c>
    </row>
    <row r="31" spans="2:6" ht="14.4" x14ac:dyDescent="0.3">
      <c r="B31" s="9">
        <v>23</v>
      </c>
      <c r="C31" s="10">
        <f t="shared" si="0"/>
        <v>14.125375446227544</v>
      </c>
      <c r="D31" s="9"/>
      <c r="E31" s="9"/>
      <c r="F31" s="9" t="e">
        <f t="shared" si="2"/>
        <v>#DIV/0!</v>
      </c>
    </row>
    <row r="32" spans="2:6" ht="14.4" x14ac:dyDescent="0.3">
      <c r="B32" s="9">
        <v>24</v>
      </c>
      <c r="C32" s="10">
        <f t="shared" si="0"/>
        <v>15.848931924611136</v>
      </c>
      <c r="D32" s="9"/>
      <c r="E32" s="9"/>
      <c r="F32" s="9" t="e">
        <f t="shared" si="2"/>
        <v>#DIV/0!</v>
      </c>
    </row>
    <row r="34" spans="1:5" s="36" customFormat="1" ht="18" x14ac:dyDescent="0.35">
      <c r="A34" s="37" t="s">
        <v>37</v>
      </c>
    </row>
    <row r="35" spans="1:5" ht="14.4" x14ac:dyDescent="0.3">
      <c r="B35" s="42" t="s">
        <v>43</v>
      </c>
      <c r="C35" s="42" t="s">
        <v>38</v>
      </c>
      <c r="D35" s="42" t="s">
        <v>39</v>
      </c>
      <c r="E35" s="42" t="s">
        <v>40</v>
      </c>
    </row>
    <row r="36" spans="1:5" ht="14.4" x14ac:dyDescent="0.3">
      <c r="B36" s="43" t="s">
        <v>46</v>
      </c>
      <c r="C36" s="43" t="s">
        <v>41</v>
      </c>
      <c r="D36" s="43" t="s">
        <v>41</v>
      </c>
      <c r="E36" s="43" t="s">
        <v>42</v>
      </c>
    </row>
    <row r="37" spans="1:5" x14ac:dyDescent="0.25">
      <c r="A37" s="45" t="s">
        <v>44</v>
      </c>
      <c r="B37" s="1">
        <v>0</v>
      </c>
      <c r="C37" s="44"/>
      <c r="D37" s="44"/>
      <c r="E37" s="44"/>
    </row>
    <row r="38" spans="1:5" x14ac:dyDescent="0.25">
      <c r="A38" s="45" t="s">
        <v>45</v>
      </c>
      <c r="B38" s="1">
        <v>24</v>
      </c>
      <c r="C38" s="44"/>
      <c r="D38" s="44"/>
      <c r="E38" s="44"/>
    </row>
  </sheetData>
  <mergeCells count="5">
    <mergeCell ref="A4:C4"/>
    <mergeCell ref="F4:H4"/>
    <mergeCell ref="A5:C5"/>
    <mergeCell ref="F5:H5"/>
    <mergeCell ref="D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4EEA-9BCF-4434-ACDF-1ED798776BB0}">
  <dimension ref="A2:H37"/>
  <sheetViews>
    <sheetView tabSelected="1" topLeftCell="A16" workbookViewId="0">
      <selection activeCell="C17" sqref="C17"/>
    </sheetView>
  </sheetViews>
  <sheetFormatPr defaultRowHeight="13.2" x14ac:dyDescent="0.25"/>
  <cols>
    <col min="1" max="1" width="6.33203125" customWidth="1"/>
    <col min="2" max="2" width="16.33203125" customWidth="1"/>
    <col min="3" max="3" width="17.88671875" customWidth="1"/>
    <col min="4" max="5" width="17.109375" customWidth="1"/>
    <col min="6" max="6" width="17" customWidth="1"/>
  </cols>
  <sheetData>
    <row r="2" spans="1:8" s="36" customFormat="1" ht="18" x14ac:dyDescent="0.35">
      <c r="A2" s="37" t="s">
        <v>31</v>
      </c>
    </row>
    <row r="3" spans="1:8" s="38" customFormat="1" ht="14.4" x14ac:dyDescent="0.3">
      <c r="A3" s="39" t="s">
        <v>48</v>
      </c>
      <c r="B3" s="40"/>
      <c r="C3" s="40"/>
      <c r="D3" s="40"/>
      <c r="E3" s="40"/>
      <c r="F3" s="40"/>
    </row>
    <row r="4" spans="1:8" s="38" customFormat="1" ht="42" customHeight="1" x14ac:dyDescent="0.3">
      <c r="A4" s="54" t="s">
        <v>34</v>
      </c>
      <c r="B4" s="55"/>
      <c r="C4" s="56"/>
      <c r="D4" s="54" t="s">
        <v>35</v>
      </c>
      <c r="E4" s="55"/>
      <c r="F4" s="57" t="s">
        <v>36</v>
      </c>
      <c r="G4" s="58"/>
      <c r="H4" s="59"/>
    </row>
    <row r="5" spans="1:8" s="38" customFormat="1" ht="14.4" thickBot="1" x14ac:dyDescent="0.35">
      <c r="A5" s="60"/>
      <c r="B5" s="61"/>
      <c r="C5" s="61"/>
      <c r="D5" s="41"/>
      <c r="E5" s="41"/>
      <c r="F5" s="62"/>
      <c r="G5" s="63"/>
      <c r="H5" s="63"/>
    </row>
    <row r="6" spans="1:8" ht="13.8" thickBot="1" x14ac:dyDescent="0.3">
      <c r="B6" s="46" t="s">
        <v>0</v>
      </c>
      <c r="C6" s="47" t="s">
        <v>0</v>
      </c>
      <c r="D6" s="47" t="s">
        <v>1</v>
      </c>
      <c r="E6" s="50" t="s">
        <v>32</v>
      </c>
      <c r="F6" s="52" t="s">
        <v>49</v>
      </c>
    </row>
    <row r="7" spans="1:8" x14ac:dyDescent="0.25">
      <c r="B7" s="48" t="s">
        <v>3</v>
      </c>
      <c r="C7" s="49" t="s">
        <v>4</v>
      </c>
      <c r="D7" s="49" t="s">
        <v>3</v>
      </c>
      <c r="E7" s="51" t="s">
        <v>33</v>
      </c>
      <c r="F7" s="51" t="s">
        <v>42</v>
      </c>
    </row>
    <row r="8" spans="1:8" x14ac:dyDescent="0.25">
      <c r="B8" s="1">
        <v>-5</v>
      </c>
      <c r="C8" s="2">
        <f t="shared" ref="C8:C12" si="0">10^(B8/20)</f>
        <v>0.56234132519034907</v>
      </c>
      <c r="D8" s="1"/>
      <c r="E8" s="1"/>
      <c r="F8" s="1" t="e">
        <f>100*(B8-D8)/D8</f>
        <v>#DIV/0!</v>
      </c>
    </row>
    <row r="9" spans="1:8" x14ac:dyDescent="0.25">
      <c r="B9" s="1">
        <v>-4</v>
      </c>
      <c r="C9" s="2">
        <f t="shared" si="0"/>
        <v>0.63095734448019325</v>
      </c>
      <c r="D9" s="1"/>
      <c r="E9" s="1"/>
      <c r="F9" s="1" t="e">
        <f t="shared" ref="F9:F12" si="1">100*(B9-D9)/D9</f>
        <v>#DIV/0!</v>
      </c>
    </row>
    <row r="10" spans="1:8" x14ac:dyDescent="0.25">
      <c r="B10" s="1">
        <v>-3</v>
      </c>
      <c r="C10" s="2">
        <f t="shared" si="0"/>
        <v>0.70794578438413791</v>
      </c>
      <c r="D10" s="1"/>
      <c r="E10" s="1"/>
      <c r="F10" s="1" t="e">
        <f t="shared" si="1"/>
        <v>#DIV/0!</v>
      </c>
    </row>
    <row r="11" spans="1:8" x14ac:dyDescent="0.25">
      <c r="B11" s="1">
        <v>-2</v>
      </c>
      <c r="C11" s="2">
        <f t="shared" si="0"/>
        <v>0.79432823472428149</v>
      </c>
      <c r="D11" s="1"/>
      <c r="E11" s="1"/>
      <c r="F11" s="1" t="e">
        <f t="shared" si="1"/>
        <v>#DIV/0!</v>
      </c>
    </row>
    <row r="12" spans="1:8" x14ac:dyDescent="0.25">
      <c r="B12" s="1">
        <v>-1</v>
      </c>
      <c r="C12" s="2">
        <f t="shared" si="0"/>
        <v>0.89125093813374545</v>
      </c>
      <c r="D12" s="1"/>
      <c r="E12" s="1"/>
      <c r="F12" s="1" t="e">
        <f t="shared" si="1"/>
        <v>#DIV/0!</v>
      </c>
    </row>
    <row r="13" spans="1:8" x14ac:dyDescent="0.25">
      <c r="B13" s="1">
        <v>0</v>
      </c>
      <c r="C13" s="2">
        <f t="shared" ref="C13:C31" si="2">10^(B13/20)</f>
        <v>1</v>
      </c>
      <c r="D13" s="1"/>
      <c r="E13" s="1"/>
      <c r="F13" s="1" t="e">
        <f>100*(B13-D13)/D13</f>
        <v>#DIV/0!</v>
      </c>
    </row>
    <row r="14" spans="1:8" ht="14.4" x14ac:dyDescent="0.3">
      <c r="B14" s="3">
        <v>1</v>
      </c>
      <c r="C14" s="4">
        <f t="shared" si="2"/>
        <v>1.1220184543019636</v>
      </c>
      <c r="D14" s="3"/>
      <c r="E14" s="3"/>
      <c r="F14" s="3" t="e">
        <f t="shared" ref="F14:F26" si="3">100*(B14-D14)/D14</f>
        <v>#DIV/0!</v>
      </c>
    </row>
    <row r="15" spans="1:8" ht="14.4" x14ac:dyDescent="0.3">
      <c r="B15" s="3">
        <v>2</v>
      </c>
      <c r="C15" s="4">
        <f t="shared" si="2"/>
        <v>1.2589254117941673</v>
      </c>
      <c r="D15" s="3"/>
      <c r="E15" s="3"/>
      <c r="F15" s="3" t="e">
        <f t="shared" si="3"/>
        <v>#DIV/0!</v>
      </c>
    </row>
    <row r="16" spans="1:8" ht="14.4" x14ac:dyDescent="0.3">
      <c r="B16" s="3">
        <v>3</v>
      </c>
      <c r="C16" s="4">
        <f t="shared" si="2"/>
        <v>1.4125375446227544</v>
      </c>
      <c r="D16" s="3"/>
      <c r="E16" s="3"/>
      <c r="F16" s="3" t="e">
        <f t="shared" si="3"/>
        <v>#DIV/0!</v>
      </c>
    </row>
    <row r="17" spans="2:6" ht="14.4" x14ac:dyDescent="0.3">
      <c r="B17" s="3">
        <v>4</v>
      </c>
      <c r="C17" s="4">
        <f t="shared" si="2"/>
        <v>1.5848931924611136</v>
      </c>
      <c r="D17" s="3"/>
      <c r="E17" s="3"/>
      <c r="F17" s="3" t="e">
        <f t="shared" si="3"/>
        <v>#DIV/0!</v>
      </c>
    </row>
    <row r="18" spans="2:6" ht="14.4" x14ac:dyDescent="0.3">
      <c r="B18" s="3">
        <v>5</v>
      </c>
      <c r="C18" s="4">
        <f t="shared" si="2"/>
        <v>1.778279410038923</v>
      </c>
      <c r="D18" s="3"/>
      <c r="E18" s="3"/>
      <c r="F18" s="3" t="e">
        <f t="shared" si="3"/>
        <v>#DIV/0!</v>
      </c>
    </row>
    <row r="19" spans="2:6" ht="14.4" x14ac:dyDescent="0.3">
      <c r="B19" s="3">
        <v>6</v>
      </c>
      <c r="C19" s="4">
        <f t="shared" si="2"/>
        <v>1.9952623149688797</v>
      </c>
      <c r="D19" s="3"/>
      <c r="E19" s="3"/>
      <c r="F19" s="3" t="e">
        <f t="shared" si="3"/>
        <v>#DIV/0!</v>
      </c>
    </row>
    <row r="20" spans="2:6" ht="14.4" x14ac:dyDescent="0.3">
      <c r="B20" s="5">
        <v>7</v>
      </c>
      <c r="C20" s="6">
        <f t="shared" si="2"/>
        <v>2.2387211385683394</v>
      </c>
      <c r="D20" s="5"/>
      <c r="E20" s="5"/>
      <c r="F20" s="5" t="e">
        <f t="shared" si="3"/>
        <v>#DIV/0!</v>
      </c>
    </row>
    <row r="21" spans="2:6" ht="14.4" x14ac:dyDescent="0.3">
      <c r="B21" s="5">
        <v>8</v>
      </c>
      <c r="C21" s="6">
        <f t="shared" si="2"/>
        <v>2.5118864315095806</v>
      </c>
      <c r="D21" s="5"/>
      <c r="E21" s="5"/>
      <c r="F21" s="5" t="e">
        <f t="shared" si="3"/>
        <v>#DIV/0!</v>
      </c>
    </row>
    <row r="22" spans="2:6" ht="14.4" x14ac:dyDescent="0.3">
      <c r="B22" s="5">
        <v>9</v>
      </c>
      <c r="C22" s="6">
        <f t="shared" si="2"/>
        <v>2.8183829312644542</v>
      </c>
      <c r="D22" s="5"/>
      <c r="E22" s="5"/>
      <c r="F22" s="5" t="e">
        <f t="shared" si="3"/>
        <v>#DIV/0!</v>
      </c>
    </row>
    <row r="23" spans="2:6" ht="14.4" x14ac:dyDescent="0.3">
      <c r="B23" s="5">
        <v>10</v>
      </c>
      <c r="C23" s="6">
        <f t="shared" si="2"/>
        <v>3.1622776601683795</v>
      </c>
      <c r="D23" s="5"/>
      <c r="E23" s="5"/>
      <c r="F23" s="5" t="e">
        <f t="shared" si="3"/>
        <v>#DIV/0!</v>
      </c>
    </row>
    <row r="24" spans="2:6" ht="14.4" x14ac:dyDescent="0.3">
      <c r="B24" s="5">
        <v>11</v>
      </c>
      <c r="C24" s="6">
        <f t="shared" si="2"/>
        <v>3.5481338923357555</v>
      </c>
      <c r="D24" s="5"/>
      <c r="E24" s="5"/>
      <c r="F24" s="5" t="e">
        <f t="shared" si="3"/>
        <v>#DIV/0!</v>
      </c>
    </row>
    <row r="25" spans="2:6" ht="14.4" x14ac:dyDescent="0.3">
      <c r="B25" s="5">
        <v>12</v>
      </c>
      <c r="C25" s="6">
        <f t="shared" si="2"/>
        <v>3.9810717055349727</v>
      </c>
      <c r="D25" s="5"/>
      <c r="E25" s="5"/>
      <c r="F25" s="5" t="e">
        <f t="shared" si="3"/>
        <v>#DIV/0!</v>
      </c>
    </row>
    <row r="26" spans="2:6" ht="14.4" x14ac:dyDescent="0.3">
      <c r="B26" s="7">
        <v>13</v>
      </c>
      <c r="C26" s="8">
        <f t="shared" si="2"/>
        <v>4.4668359215096318</v>
      </c>
      <c r="D26" s="7"/>
      <c r="E26" s="7"/>
      <c r="F26" s="7" t="e">
        <f t="shared" si="3"/>
        <v>#DIV/0!</v>
      </c>
    </row>
    <row r="27" spans="2:6" ht="14.4" x14ac:dyDescent="0.3">
      <c r="B27" s="7">
        <v>14</v>
      </c>
      <c r="C27" s="8">
        <f t="shared" si="2"/>
        <v>5.0118723362727229</v>
      </c>
      <c r="D27" s="7"/>
      <c r="E27" s="7"/>
      <c r="F27" s="7" t="e">
        <f>100*(B27-D27)/D27</f>
        <v>#DIV/0!</v>
      </c>
    </row>
    <row r="28" spans="2:6" ht="14.4" x14ac:dyDescent="0.3">
      <c r="B28" s="7">
        <v>15</v>
      </c>
      <c r="C28" s="8">
        <f t="shared" si="2"/>
        <v>5.6234132519034921</v>
      </c>
      <c r="D28" s="7"/>
      <c r="E28" s="7"/>
      <c r="F28" s="7" t="e">
        <f t="shared" ref="F28:F31" si="4">100*(B28-D28)/D28</f>
        <v>#DIV/0!</v>
      </c>
    </row>
    <row r="29" spans="2:6" ht="14.4" x14ac:dyDescent="0.3">
      <c r="B29" s="7">
        <v>16</v>
      </c>
      <c r="C29" s="8">
        <f t="shared" si="2"/>
        <v>6.3095734448019343</v>
      </c>
      <c r="D29" s="7"/>
      <c r="E29" s="7"/>
      <c r="F29" s="7" t="e">
        <f t="shared" si="4"/>
        <v>#DIV/0!</v>
      </c>
    </row>
    <row r="30" spans="2:6" ht="14.4" x14ac:dyDescent="0.3">
      <c r="B30" s="7">
        <v>17</v>
      </c>
      <c r="C30" s="8">
        <f t="shared" si="2"/>
        <v>7.0794578438413795</v>
      </c>
      <c r="D30" s="7"/>
      <c r="E30" s="7"/>
      <c r="F30" s="7" t="e">
        <f t="shared" si="4"/>
        <v>#DIV/0!</v>
      </c>
    </row>
    <row r="31" spans="2:6" ht="14.4" x14ac:dyDescent="0.3">
      <c r="B31" s="7">
        <v>18</v>
      </c>
      <c r="C31" s="8">
        <f t="shared" si="2"/>
        <v>7.9432823472428176</v>
      </c>
      <c r="D31" s="7"/>
      <c r="E31" s="7"/>
      <c r="F31" s="7" t="e">
        <f t="shared" si="4"/>
        <v>#DIV/0!</v>
      </c>
    </row>
    <row r="33" spans="1:5" s="36" customFormat="1" ht="18" x14ac:dyDescent="0.35">
      <c r="A33" s="37" t="s">
        <v>37</v>
      </c>
    </row>
    <row r="34" spans="1:5" ht="14.4" x14ac:dyDescent="0.3">
      <c r="B34" s="42" t="s">
        <v>43</v>
      </c>
      <c r="C34" s="42" t="s">
        <v>38</v>
      </c>
      <c r="D34" s="42" t="s">
        <v>39</v>
      </c>
      <c r="E34" s="42" t="s">
        <v>40</v>
      </c>
    </row>
    <row r="35" spans="1:5" ht="14.4" x14ac:dyDescent="0.3">
      <c r="B35" s="43" t="s">
        <v>46</v>
      </c>
      <c r="C35" s="43" t="s">
        <v>41</v>
      </c>
      <c r="D35" s="43" t="s">
        <v>41</v>
      </c>
      <c r="E35" s="43" t="s">
        <v>42</v>
      </c>
    </row>
    <row r="36" spans="1:5" x14ac:dyDescent="0.25">
      <c r="A36" s="45" t="s">
        <v>44</v>
      </c>
      <c r="B36" s="1">
        <v>-5</v>
      </c>
      <c r="C36" s="44"/>
      <c r="D36" s="44"/>
      <c r="E36" s="44"/>
    </row>
    <row r="37" spans="1:5" x14ac:dyDescent="0.25">
      <c r="A37" s="45" t="s">
        <v>45</v>
      </c>
      <c r="B37" s="1">
        <v>18</v>
      </c>
      <c r="C37" s="44"/>
      <c r="D37" s="44"/>
      <c r="E37" s="44"/>
    </row>
  </sheetData>
  <mergeCells count="5">
    <mergeCell ref="A4:C4"/>
    <mergeCell ref="D4:E4"/>
    <mergeCell ref="F4:H4"/>
    <mergeCell ref="A5:C5"/>
    <mergeCell ref="F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EtajeAmplificare</vt:lpstr>
      <vt:lpstr>PGA_EtajeIdentice_Mux</vt:lpstr>
      <vt:lpstr>PGA_ReglajBrutFin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Campanu Iulian</dc:creator>
  <cp:lastModifiedBy>Onet Raul</cp:lastModifiedBy>
  <dcterms:created xsi:type="dcterms:W3CDTF">1996-10-14T23:33:28Z</dcterms:created>
  <dcterms:modified xsi:type="dcterms:W3CDTF">2021-03-30T13:59:42Z</dcterms:modified>
</cp:coreProperties>
</file>